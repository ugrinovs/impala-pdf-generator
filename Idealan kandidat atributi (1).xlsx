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ovi kraći ideal" sheetId="2" r:id="rId5"/>
  </sheets>
  <definedNames/>
  <calcPr/>
  <extLst>
    <ext uri="GoogleSheetsCustomDataVersion2">
      <go:sheetsCustomData xmlns:go="http://customooxmlschemas.google.com/" r:id="rId6" roundtripDataChecksum="jrjZwJG3n2/sSwocsIxlAozRs9YVbOZmrF+EPe0mP3I="/>
    </ext>
  </extLst>
</workbook>
</file>

<file path=xl/sharedStrings.xml><?xml version="1.0" encoding="utf-8"?>
<sst xmlns="http://schemas.openxmlformats.org/spreadsheetml/2006/main" count="3066" uniqueCount="826">
  <si>
    <t>Category</t>
  </si>
  <si>
    <t>Dimension/Pillar</t>
  </si>
  <si>
    <t>Facet</t>
  </si>
  <si>
    <t>Attribute_EN</t>
  </si>
  <si>
    <t>Attribute_SR</t>
  </si>
  <si>
    <t>Direction</t>
  </si>
  <si>
    <t>Description_EN</t>
  </si>
  <si>
    <t>Description_SR</t>
  </si>
  <si>
    <t>Ideal 1-5</t>
  </si>
  <si>
    <t>Ponder /Weight factor 1-3</t>
  </si>
  <si>
    <t>Dimenzija/Pillar</t>
  </si>
  <si>
    <t>Ideal candidate dimensions</t>
  </si>
  <si>
    <t>Real Candidate</t>
  </si>
  <si>
    <t>Deviation (%), procenat odstupanja od realno kandidata</t>
  </si>
  <si>
    <t>Weighted Fit (težinski doprinos usklađenosti)</t>
  </si>
  <si>
    <t>Weight (ukupna važnost atribura)</t>
  </si>
  <si>
    <t>Sum of weighted fit</t>
  </si>
  <si>
    <t>Fit Index (podudarnost sa idealnim kandidatom)</t>
  </si>
  <si>
    <t>Investment Index % (koliko ulaganja je potrebno da se dosegne ideal)</t>
  </si>
  <si>
    <t>Fit flag</t>
  </si>
  <si>
    <t>HEXACO</t>
  </si>
  <si>
    <t>Honesty–Humility</t>
  </si>
  <si>
    <t>Sincerity</t>
  </si>
  <si>
    <t>Integrity</t>
  </si>
  <si>
    <t>Integritet</t>
  </si>
  <si>
    <t>↑</t>
  </si>
  <si>
    <t>Prefer higher for most roles</t>
  </si>
  <si>
    <t>Poželjno više za većinu uloga</t>
  </si>
  <si>
    <t>H</t>
  </si>
  <si>
    <t>Transparency</t>
  </si>
  <si>
    <t>Transparentnost</t>
  </si>
  <si>
    <t>E</t>
  </si>
  <si>
    <t>Authenticity</t>
  </si>
  <si>
    <t>Autentičnost</t>
  </si>
  <si>
    <t>X</t>
  </si>
  <si>
    <t>Truthfulness</t>
  </si>
  <si>
    <t>Istinoljubivost</t>
  </si>
  <si>
    <t>A</t>
  </si>
  <si>
    <t>Non-manipulative</t>
  </si>
  <si>
    <t>Nemanipulativnost</t>
  </si>
  <si>
    <t>C</t>
  </si>
  <si>
    <t>Fair Play</t>
  </si>
  <si>
    <t>Fer plej</t>
  </si>
  <si>
    <t>O</t>
  </si>
  <si>
    <t>Ethical Consistency</t>
  </si>
  <si>
    <t>Etička doslednost</t>
  </si>
  <si>
    <t>Results</t>
  </si>
  <si>
    <t>Trustworthiness</t>
  </si>
  <si>
    <t>Poverljivost</t>
  </si>
  <si>
    <t>Mindset</t>
  </si>
  <si>
    <t>Fairness</t>
  </si>
  <si>
    <t>Impartiality</t>
  </si>
  <si>
    <t>Nepristrasnost</t>
  </si>
  <si>
    <t>Skills</t>
  </si>
  <si>
    <t>Anti-corruption</t>
  </si>
  <si>
    <t>Antikorupcijski stav</t>
  </si>
  <si>
    <t>Communication</t>
  </si>
  <si>
    <t>Equity</t>
  </si>
  <si>
    <t>Pravičnost</t>
  </si>
  <si>
    <t>Interpersonal Savvy</t>
  </si>
  <si>
    <t>Rule Respect</t>
  </si>
  <si>
    <t>Poštovanje pravila</t>
  </si>
  <si>
    <t>Influence</t>
  </si>
  <si>
    <t>No Favoritism</t>
  </si>
  <si>
    <t>Bez favorizacije</t>
  </si>
  <si>
    <t>Wellbeing</t>
  </si>
  <si>
    <t>Honorable</t>
  </si>
  <si>
    <t>Časnost</t>
  </si>
  <si>
    <t>Engagement</t>
  </si>
  <si>
    <t>Accountable</t>
  </si>
  <si>
    <t>Odgovornost (moralna)</t>
  </si>
  <si>
    <t>Satisfaction</t>
  </si>
  <si>
    <t>Conflict-of-interest aware</t>
  </si>
  <si>
    <t>Svest o sukobu interesa</t>
  </si>
  <si>
    <t>Greed Avoidance</t>
  </si>
  <si>
    <t>Low greed</t>
  </si>
  <si>
    <t>Nizak pohlepni nagon</t>
  </si>
  <si>
    <t>Modest rewards</t>
  </si>
  <si>
    <t>Skromnost u nagradama</t>
  </si>
  <si>
    <t>Anti-status seeking</t>
  </si>
  <si>
    <t>Bez traganja za statusom</t>
  </si>
  <si>
    <t>Non-possessive</t>
  </si>
  <si>
    <t>Neposesivnost</t>
  </si>
  <si>
    <t>Frugality</t>
  </si>
  <si>
    <t>Štedljivost</t>
  </si>
  <si>
    <t>Shared success</t>
  </si>
  <si>
    <t>Deljenje uspeha</t>
  </si>
  <si>
    <t>Team over self</t>
  </si>
  <si>
    <t>Tim iznad sebe</t>
  </si>
  <si>
    <t>Simplicity</t>
  </si>
  <si>
    <t>Jednostavnost</t>
  </si>
  <si>
    <t>Modesty</t>
  </si>
  <si>
    <t>Humility</t>
  </si>
  <si>
    <t>Skromnost</t>
  </si>
  <si>
    <t>Low self-promotion</t>
  </si>
  <si>
    <t>Niska samopromocija</t>
  </si>
  <si>
    <t>Grounded</t>
  </si>
  <si>
    <t>Prizemljenost</t>
  </si>
  <si>
    <t>Credit-sharing</t>
  </si>
  <si>
    <t>Deljenje zasluga</t>
  </si>
  <si>
    <t>Learning stance</t>
  </si>
  <si>
    <t>Stav učenika</t>
  </si>
  <si>
    <t>Non-arrogant</t>
  </si>
  <si>
    <t>Bez arogancije</t>
  </si>
  <si>
    <t>Respectful</t>
  </si>
  <si>
    <t>Pun poštovanja</t>
  </si>
  <si>
    <t>Quiet confidence</t>
  </si>
  <si>
    <t>Tiho samopouzdanje</t>
  </si>
  <si>
    <t>Emotionality</t>
  </si>
  <si>
    <t>Fearfulness</t>
  </si>
  <si>
    <t>Calm under pressure</t>
  </si>
  <si>
    <t>Smiren pod pritiskom</t>
  </si>
  <si>
    <t>Risk composure</t>
  </si>
  <si>
    <t>Staložen u riziku</t>
  </si>
  <si>
    <t>Threat appraisal</t>
  </si>
  <si>
    <t>Procena pretnji</t>
  </si>
  <si>
    <t>Caution</t>
  </si>
  <si>
    <t>Oprez</t>
  </si>
  <si>
    <t>Crisis steadiness</t>
  </si>
  <si>
    <t>Stabilnost u krizi</t>
  </si>
  <si>
    <t>Brave enough</t>
  </si>
  <si>
    <t>Dovoljna hrabrost</t>
  </si>
  <si>
    <t>Safety orientation</t>
  </si>
  <si>
    <t>Orijentisan na bezbednost</t>
  </si>
  <si>
    <t>Preparedness</t>
  </si>
  <si>
    <t>Spremnost</t>
  </si>
  <si>
    <t>Anxiety</t>
  </si>
  <si>
    <t>Low performance anxiety</t>
  </si>
  <si>
    <t>Nizak performans anksioznosti</t>
  </si>
  <si>
    <t>Stress tolerance</t>
  </si>
  <si>
    <t>Tolerancija na stres</t>
  </si>
  <si>
    <t>Worry control</t>
  </si>
  <si>
    <t>Kontrola brige</t>
  </si>
  <si>
    <t>Emotional regulation</t>
  </si>
  <si>
    <t>Emocionalna regulacija</t>
  </si>
  <si>
    <t>Composure</t>
  </si>
  <si>
    <t>Staloženost</t>
  </si>
  <si>
    <t>Stability</t>
  </si>
  <si>
    <t>Stabilnost</t>
  </si>
  <si>
    <t>Recovery speed</t>
  </si>
  <si>
    <t>Brzina oporavka</t>
  </si>
  <si>
    <t>Grounding</t>
  </si>
  <si>
    <t>Uzemljenost</t>
  </si>
  <si>
    <t>Dependence</t>
  </si>
  <si>
    <t>Self-reliance</t>
  </si>
  <si>
    <t>Samopouzdan oslonac</t>
  </si>
  <si>
    <t>Autonomy</t>
  </si>
  <si>
    <t>Autonomnost</t>
  </si>
  <si>
    <t>Help-seeking balance</t>
  </si>
  <si>
    <t>Balans traženja pomoći</t>
  </si>
  <si>
    <t>Secure attachment</t>
  </si>
  <si>
    <t>Sigurna privrženost</t>
  </si>
  <si>
    <t>Independent coping</t>
  </si>
  <si>
    <t>Samostalno suočavanje</t>
  </si>
  <si>
    <t>Resourcefulness</t>
  </si>
  <si>
    <t>Snalazljivost</t>
  </si>
  <si>
    <t>Boundaries</t>
  </si>
  <si>
    <t>Granice</t>
  </si>
  <si>
    <t>Self-anchoring</t>
  </si>
  <si>
    <t>Samoukorenjivanje</t>
  </si>
  <si>
    <t>Sentimentality</t>
  </si>
  <si>
    <t>Empathy</t>
  </si>
  <si>
    <t>Empatija</t>
  </si>
  <si>
    <t>Compassion</t>
  </si>
  <si>
    <t>Saosećanje</t>
  </si>
  <si>
    <t>Warmth</t>
  </si>
  <si>
    <t>Toplina</t>
  </si>
  <si>
    <t>Care orientation</t>
  </si>
  <si>
    <t>Briga za druge</t>
  </si>
  <si>
    <t>Humanity</t>
  </si>
  <si>
    <t>Humanost</t>
  </si>
  <si>
    <t>Prosocial concern</t>
  </si>
  <si>
    <t>Prosocijalna briga</t>
  </si>
  <si>
    <t>Emotional attunement</t>
  </si>
  <si>
    <t>Emocionalno usklađivanje</t>
  </si>
  <si>
    <t>Kindness</t>
  </si>
  <si>
    <t>Ljubaznost</t>
  </si>
  <si>
    <t>Extraversion</t>
  </si>
  <si>
    <t>Social Self-Esteem</t>
  </si>
  <si>
    <t>Confidence</t>
  </si>
  <si>
    <t>Samopouzdanje</t>
  </si>
  <si>
    <t>Self-efficacy</t>
  </si>
  <si>
    <t>Sopstvena efikasnost</t>
  </si>
  <si>
    <t>Presence</t>
  </si>
  <si>
    <t>Prisustvo</t>
  </si>
  <si>
    <t>Composed visibility</t>
  </si>
  <si>
    <t>Vidljivost sa merom</t>
  </si>
  <si>
    <t>Gravitas</t>
  </si>
  <si>
    <t>Dostojanstvo, smirenost</t>
  </si>
  <si>
    <t>Positive self-image</t>
  </si>
  <si>
    <t>Pozitivna slika o sebi</t>
  </si>
  <si>
    <t>Poise</t>
  </si>
  <si>
    <t>Pribranost</t>
  </si>
  <si>
    <t>Standing</t>
  </si>
  <si>
    <t>Ugled</t>
  </si>
  <si>
    <t>Social Boldness</t>
  </si>
  <si>
    <t>Assertiveness</t>
  </si>
  <si>
    <t>Asertivnost</t>
  </si>
  <si>
    <t>Initiative</t>
  </si>
  <si>
    <t>Inicijativa</t>
  </si>
  <si>
    <t>Challenging stance</t>
  </si>
  <si>
    <t>Spremnost na izazov</t>
  </si>
  <si>
    <t>Courage to speak</t>
  </si>
  <si>
    <t>Hrabrost da govori</t>
  </si>
  <si>
    <t>Audience ease</t>
  </si>
  <si>
    <t>Lakoća pred publikom</t>
  </si>
  <si>
    <t>Negotiation drive</t>
  </si>
  <si>
    <t>Pogonska snaga u pregovorima</t>
  </si>
  <si>
    <t>Decisive presence</t>
  </si>
  <si>
    <t>Odlučno prisustvo</t>
  </si>
  <si>
    <t>Risk taking (social)</t>
  </si>
  <si>
    <t>Preuzimanje soc. rizika</t>
  </si>
  <si>
    <t>Sociability</t>
  </si>
  <si>
    <t>Networking</t>
  </si>
  <si>
    <t>Umrežavanje</t>
  </si>
  <si>
    <t>Rapport building</t>
  </si>
  <si>
    <t>Izgradnja odnosa</t>
  </si>
  <si>
    <t>Approachability</t>
  </si>
  <si>
    <t>Pristupačnost</t>
  </si>
  <si>
    <t>Team energizer</t>
  </si>
  <si>
    <t>Energizator tima</t>
  </si>
  <si>
    <t>Outreach</t>
  </si>
  <si>
    <t>Društvena dosežnost</t>
  </si>
  <si>
    <t>Collaborative vibe</t>
  </si>
  <si>
    <t>Kolektivni duh</t>
  </si>
  <si>
    <t>Connection density</t>
  </si>
  <si>
    <t>Gustina veza</t>
  </si>
  <si>
    <t>Social fluency</t>
  </si>
  <si>
    <t>Socijalna protočnost</t>
  </si>
  <si>
    <t>Liveliness</t>
  </si>
  <si>
    <t>Enthusiasm</t>
  </si>
  <si>
    <t>Entuzijazam</t>
  </si>
  <si>
    <t>Vitality</t>
  </si>
  <si>
    <t>Vitalnost</t>
  </si>
  <si>
    <t>Positive affect</t>
  </si>
  <si>
    <t>Pozitivan afekt</t>
  </si>
  <si>
    <t>Momentum</t>
  </si>
  <si>
    <t>Zamah</t>
  </si>
  <si>
    <t>Motivational spark</t>
  </si>
  <si>
    <t>Motivacijska iskra</t>
  </si>
  <si>
    <t>Optimistic tone</t>
  </si>
  <si>
    <t>Optimističan ton</t>
  </si>
  <si>
    <t>Drive</t>
  </si>
  <si>
    <t>Pogon</t>
  </si>
  <si>
    <t>Energy management</t>
  </si>
  <si>
    <t>Upravljanje energijom</t>
  </si>
  <si>
    <t>Agreeableness</t>
  </si>
  <si>
    <t>Forgiveness</t>
  </si>
  <si>
    <t>Non-grudging</t>
  </si>
  <si>
    <t>Bez zlopamćenja</t>
  </si>
  <si>
    <t>Restorative stance</t>
  </si>
  <si>
    <t>Restaurativni pristup</t>
  </si>
  <si>
    <t>Reconciliation</t>
  </si>
  <si>
    <t>Pomirenje</t>
  </si>
  <si>
    <t>Benefit of doubt</t>
  </si>
  <si>
    <t>Benefit sumnje</t>
  </si>
  <si>
    <t>Generosity</t>
  </si>
  <si>
    <t>Velikodušnost</t>
  </si>
  <si>
    <t>Trust repair</t>
  </si>
  <si>
    <t>Popravka poverenja</t>
  </si>
  <si>
    <t>Acceptance</t>
  </si>
  <si>
    <t>Prihvatanje</t>
  </si>
  <si>
    <t>Letting go</t>
  </si>
  <si>
    <t>Puštanje</t>
  </si>
  <si>
    <t>Gentleness</t>
  </si>
  <si>
    <t>Tact</t>
  </si>
  <si>
    <t>Takt</t>
  </si>
  <si>
    <t>Consideration</t>
  </si>
  <si>
    <t>Obzirnost</t>
  </si>
  <si>
    <t>Kind delivery</t>
  </si>
  <si>
    <t>Blag način izlaganja</t>
  </si>
  <si>
    <t>Temperate tone</t>
  </si>
  <si>
    <t>Umeren ton</t>
  </si>
  <si>
    <t>Non-blaming</t>
  </si>
  <si>
    <t>Bez okrivljavanja</t>
  </si>
  <si>
    <t>Soft influence</t>
  </si>
  <si>
    <t>Meka influencija</t>
  </si>
  <si>
    <t>Politeness</t>
  </si>
  <si>
    <t>Učtivost</t>
  </si>
  <si>
    <t>Respectful speech</t>
  </si>
  <si>
    <t>Poštovanje u govoru</t>
  </si>
  <si>
    <t>Flexibility</t>
  </si>
  <si>
    <t>Open to feedback</t>
  </si>
  <si>
    <t>Otvoren za povratnu info</t>
  </si>
  <si>
    <t>Compromise</t>
  </si>
  <si>
    <t>Kompromis</t>
  </si>
  <si>
    <t>Perspective-taking</t>
  </si>
  <si>
    <t>Uzimanje perspektive</t>
  </si>
  <si>
    <t>Adaptive stance</t>
  </si>
  <si>
    <t>Adaptivnost</t>
  </si>
  <si>
    <t>Non-defensive</t>
  </si>
  <si>
    <t>Ne-defanzivan</t>
  </si>
  <si>
    <t>Iterative learning</t>
  </si>
  <si>
    <t>Iterativno učenje</t>
  </si>
  <si>
    <t>Give-and-take</t>
  </si>
  <si>
    <t>Davanje i uzimanje</t>
  </si>
  <si>
    <t>Conflict agility</t>
  </si>
  <si>
    <t>Agilnost u konfliktu</t>
  </si>
  <si>
    <t>Patience</t>
  </si>
  <si>
    <t>Calm tempo</t>
  </si>
  <si>
    <t>Mirnoća</t>
  </si>
  <si>
    <t>Delay tolerance</t>
  </si>
  <si>
    <t>Tolerancija odlaganja</t>
  </si>
  <si>
    <t>De-escalation</t>
  </si>
  <si>
    <t>Deeskalacija</t>
  </si>
  <si>
    <t>Slow to anger</t>
  </si>
  <si>
    <t>Sporo se ljuti</t>
  </si>
  <si>
    <t>Even-keeled</t>
  </si>
  <si>
    <t>Uravnotežen</t>
  </si>
  <si>
    <t>Steady cadence</t>
  </si>
  <si>
    <t>Stalan ritam</t>
  </si>
  <si>
    <t>Measured response</t>
  </si>
  <si>
    <t>Odmjeren odgovor</t>
  </si>
  <si>
    <t>Conscientiousness</t>
  </si>
  <si>
    <t>Organization</t>
  </si>
  <si>
    <t>Structure</t>
  </si>
  <si>
    <t>Struktura</t>
  </si>
  <si>
    <t>Orderliness</t>
  </si>
  <si>
    <t>Uređenost</t>
  </si>
  <si>
    <t>Planning</t>
  </si>
  <si>
    <t>Planiranje</t>
  </si>
  <si>
    <t>Documentation</t>
  </si>
  <si>
    <t>Dokumentovanje</t>
  </si>
  <si>
    <t>Systematic</t>
  </si>
  <si>
    <t>Sistematičnost</t>
  </si>
  <si>
    <t>Prioritization</t>
  </si>
  <si>
    <t>Prioritizacija</t>
  </si>
  <si>
    <t>Methodical</t>
  </si>
  <si>
    <t>Metodičnost</t>
  </si>
  <si>
    <t>Clean handover</t>
  </si>
  <si>
    <t xml:space="preserve">Transparentan prenos odgovornosti </t>
  </si>
  <si>
    <t>Diligence</t>
  </si>
  <si>
    <t>Persistence</t>
  </si>
  <si>
    <t>Upornost</t>
  </si>
  <si>
    <t>Work ethic</t>
  </si>
  <si>
    <t>Radna etika</t>
  </si>
  <si>
    <t>Follow-through</t>
  </si>
  <si>
    <t>Dovršavanje</t>
  </si>
  <si>
    <t>Consistency</t>
  </si>
  <si>
    <t>Doslednost</t>
  </si>
  <si>
    <t>Effort</t>
  </si>
  <si>
    <t>Uloženi napor</t>
  </si>
  <si>
    <t>Ownership</t>
  </si>
  <si>
    <t>Vlasništvo nad zadacima</t>
  </si>
  <si>
    <t>Throughput</t>
  </si>
  <si>
    <t>Protok rada</t>
  </si>
  <si>
    <t>Task stamina</t>
  </si>
  <si>
    <t>Izdržljivost u zadacima</t>
  </si>
  <si>
    <t>Perfectionism</t>
  </si>
  <si>
    <t>Attention to detail</t>
  </si>
  <si>
    <t>Pažnja na detalje</t>
  </si>
  <si>
    <t>Quality focus</t>
  </si>
  <si>
    <t>Fokus na kvalitet</t>
  </si>
  <si>
    <t>Zero-defect aim</t>
  </si>
  <si>
    <t>Težnja nula grešaka</t>
  </si>
  <si>
    <t>Standards</t>
  </si>
  <si>
    <t>Standardi</t>
  </si>
  <si>
    <t>Review rigor</t>
  </si>
  <si>
    <t>Temeljnost u proveri</t>
  </si>
  <si>
    <t>Refinement</t>
  </si>
  <si>
    <t>Rafinisanje</t>
  </si>
  <si>
    <t>Polish</t>
  </si>
  <si>
    <t>Doraditi do sjaja</t>
  </si>
  <si>
    <t>Accuracy</t>
  </si>
  <si>
    <t>Tačnost</t>
  </si>
  <si>
    <t>Prudence</t>
  </si>
  <si>
    <t>Risk screening</t>
  </si>
  <si>
    <t>Procena rizika</t>
  </si>
  <si>
    <t>Foresight</t>
  </si>
  <si>
    <t>Predviđanje</t>
  </si>
  <si>
    <t>Delayed gratification</t>
  </si>
  <si>
    <t>Odloženo zadovoljenje</t>
  </si>
  <si>
    <t>Compliance</t>
  </si>
  <si>
    <t>Usklađenost</t>
  </si>
  <si>
    <t>Sound judgment</t>
  </si>
  <si>
    <t>Razborita procena</t>
  </si>
  <si>
    <t>Safeguards</t>
  </si>
  <si>
    <t>Zaštitne mere</t>
  </si>
  <si>
    <t>Evidence-based</t>
  </si>
  <si>
    <t>Zasnovano na dokazima</t>
  </si>
  <si>
    <t>Deliberation</t>
  </si>
  <si>
    <t>Promišljenost</t>
  </si>
  <si>
    <t>Openness to Experience</t>
  </si>
  <si>
    <t>Aesthetic Appreciation</t>
  </si>
  <si>
    <t>Design sense</t>
  </si>
  <si>
    <t>Osećaj za dizajn</t>
  </si>
  <si>
    <t>Taste</t>
  </si>
  <si>
    <t>Estetski ukus</t>
  </si>
  <si>
    <t>Pattern spotting</t>
  </si>
  <si>
    <t>Uočavanje obrazaca</t>
  </si>
  <si>
    <t>Storytelling</t>
  </si>
  <si>
    <t>Pripovedanje</t>
  </si>
  <si>
    <t>Symbolic thinking</t>
  </si>
  <si>
    <t>Simboličko mišljenje</t>
  </si>
  <si>
    <t>Articulation</t>
  </si>
  <si>
    <t>Artikulacija</t>
  </si>
  <si>
    <t>Sense-making</t>
  </si>
  <si>
    <t>Kreiranje smisla</t>
  </si>
  <si>
    <t>Inquisitiveness</t>
  </si>
  <si>
    <t>Curiosity</t>
  </si>
  <si>
    <t>Radoznalost</t>
  </si>
  <si>
    <t>Questioning</t>
  </si>
  <si>
    <t>Preispitivanje</t>
  </si>
  <si>
    <t>Exploration</t>
  </si>
  <si>
    <t>Istraživanje</t>
  </si>
  <si>
    <t>Information hunger</t>
  </si>
  <si>
    <t>Glad za informacijama</t>
  </si>
  <si>
    <t>Data seeking</t>
  </si>
  <si>
    <t>Traženje podataka</t>
  </si>
  <si>
    <t>Learning drive</t>
  </si>
  <si>
    <t>Pogon za učenjem</t>
  </si>
  <si>
    <t>Evidence probing</t>
  </si>
  <si>
    <t>Ispitivanje dokaza</t>
  </si>
  <si>
    <t>Wide reading</t>
  </si>
  <si>
    <t>Široko čitanje</t>
  </si>
  <si>
    <t>Creativity</t>
  </si>
  <si>
    <t>Idea generation</t>
  </si>
  <si>
    <t>Generisanje ideja</t>
  </si>
  <si>
    <t>Originality</t>
  </si>
  <si>
    <t>Originalnost</t>
  </si>
  <si>
    <t>Improvisation</t>
  </si>
  <si>
    <t>Improvozacija</t>
  </si>
  <si>
    <t>Associative thinking</t>
  </si>
  <si>
    <t>Asocijativno mišljenje</t>
  </si>
  <si>
    <t>Solution design</t>
  </si>
  <si>
    <t>Dizajn rešenja</t>
  </si>
  <si>
    <t>Scenario crafting</t>
  </si>
  <si>
    <t>Kreiranje scenarija</t>
  </si>
  <si>
    <t>Reframing</t>
  </si>
  <si>
    <t>Redefinisanje</t>
  </si>
  <si>
    <t>Novel combinations</t>
  </si>
  <si>
    <t>Nove kombinacije</t>
  </si>
  <si>
    <t>Unconventionality</t>
  </si>
  <si>
    <t>Nonconformity</t>
  </si>
  <si>
    <t>Nekonformizam</t>
  </si>
  <si>
    <t>Rule-challenging</t>
  </si>
  <si>
    <t>Dovođenje pravila u pitanje</t>
  </si>
  <si>
    <t>Lateral thinking</t>
  </si>
  <si>
    <t>Lateralno mišljenje</t>
  </si>
  <si>
    <t>Experimentation</t>
  </si>
  <si>
    <t>Eksperimentisanje</t>
  </si>
  <si>
    <t>Prototype bias</t>
  </si>
  <si>
    <t>Sklonost prototipima</t>
  </si>
  <si>
    <t>Constructive dissent</t>
  </si>
  <si>
    <t>Konstruktivno neslaganje</t>
  </si>
  <si>
    <t>Edge exploration</t>
  </si>
  <si>
    <t>Istraživanje granica</t>
  </si>
  <si>
    <t>Bold hypotheses</t>
  </si>
  <si>
    <t>Hrabre hipoteze</t>
  </si>
  <si>
    <t>HBeck360</t>
  </si>
  <si>
    <t>Short-term Goals</t>
  </si>
  <si>
    <t>Goal Prioritization</t>
  </si>
  <si>
    <t>Prioritizacija ciljeva</t>
  </si>
  <si>
    <t>Task Clarity</t>
  </si>
  <si>
    <t>Jasnoća zadatka</t>
  </si>
  <si>
    <t>Speed</t>
  </si>
  <si>
    <t>Brzina</t>
  </si>
  <si>
    <t>Execution</t>
  </si>
  <si>
    <t>Egzekucija</t>
  </si>
  <si>
    <t>Decision Alignment</t>
  </si>
  <si>
    <t>Usklađivanje odluka</t>
  </si>
  <si>
    <t>Barrier Removal</t>
  </si>
  <si>
    <t>Uklanjanje barijera</t>
  </si>
  <si>
    <t>Outcome Focus</t>
  </si>
  <si>
    <t>Fokus na rezultat</t>
  </si>
  <si>
    <t>Long-term Change</t>
  </si>
  <si>
    <t>Strategic Thinking</t>
  </si>
  <si>
    <t>Strateško razmišljanje</t>
  </si>
  <si>
    <t>Vision</t>
  </si>
  <si>
    <t>Vizija</t>
  </si>
  <si>
    <t>Innovation</t>
  </si>
  <si>
    <t>Inovativnost</t>
  </si>
  <si>
    <t>Change Readiness</t>
  </si>
  <si>
    <t>Spremnost na promene</t>
  </si>
  <si>
    <t>Process Optimization</t>
  </si>
  <si>
    <t>Optimizacija procesa</t>
  </si>
  <si>
    <t>Resource Stewardship</t>
  </si>
  <si>
    <t>Upravljanje resursima</t>
  </si>
  <si>
    <t>Long-horizon Planning</t>
  </si>
  <si>
    <t>Dugoročno planiranje</t>
  </si>
  <si>
    <t>Scalability Mindset</t>
  </si>
  <si>
    <t>Skalabilni mentalitet</t>
  </si>
  <si>
    <t>Towards Oneself</t>
  </si>
  <si>
    <t>Self-awareness</t>
  </si>
  <si>
    <t>Samosvest</t>
  </si>
  <si>
    <t>Growth Mindset</t>
  </si>
  <si>
    <t>Rastući mentalitet</t>
  </si>
  <si>
    <t>Resilience</t>
  </si>
  <si>
    <t>Otpornost</t>
  </si>
  <si>
    <t>Discipline</t>
  </si>
  <si>
    <t>Disciplina</t>
  </si>
  <si>
    <t>Self-reflection</t>
  </si>
  <si>
    <t>Samorefleksija</t>
  </si>
  <si>
    <t>Learning Agility</t>
  </si>
  <si>
    <t>Učeća agilnost</t>
  </si>
  <si>
    <t>Health Habits</t>
  </si>
  <si>
    <t>Zdrave navike</t>
  </si>
  <si>
    <t>Towards Others</t>
  </si>
  <si>
    <t>Collaboration</t>
  </si>
  <si>
    <t>Saradnja</t>
  </si>
  <si>
    <t>Team Commitment</t>
  </si>
  <si>
    <t>Posvećenost timu</t>
  </si>
  <si>
    <t>Respect for Diversity</t>
  </si>
  <si>
    <t>Poštovanje različitosti</t>
  </si>
  <si>
    <t>Psychological Safety</t>
  </si>
  <si>
    <t>Psihološka bezbednost</t>
  </si>
  <si>
    <t>Conflict Fairness</t>
  </si>
  <si>
    <t>Fer pristup konfliktu</t>
  </si>
  <si>
    <t>Mentorship</t>
  </si>
  <si>
    <t>Mentorstvo</t>
  </si>
  <si>
    <t>Service Orientation</t>
  </si>
  <si>
    <t>Servisna orijentacija</t>
  </si>
  <si>
    <t>Towards Company &amp; Position</t>
  </si>
  <si>
    <t>Values Alignment</t>
  </si>
  <si>
    <t>Usklađenost sa vrednostima</t>
  </si>
  <si>
    <t>Proactive Engagement</t>
  </si>
  <si>
    <t>Proaktivna uključenost</t>
  </si>
  <si>
    <t>Accountability</t>
  </si>
  <si>
    <t>Odgovornost</t>
  </si>
  <si>
    <t>Decision Power</t>
  </si>
  <si>
    <t>Moć odlučivanja</t>
  </si>
  <si>
    <t>Vlasništvo nad ishodom</t>
  </si>
  <si>
    <t>Stewardship</t>
  </si>
  <si>
    <t>Starateljstvo nad resursima</t>
  </si>
  <si>
    <t>Ambassadorship</t>
  </si>
  <si>
    <t>Ambasadorska uloga</t>
  </si>
  <si>
    <t>Personal Efficiency</t>
  </si>
  <si>
    <t>Time Management</t>
  </si>
  <si>
    <t>Upravljanje vremenom</t>
  </si>
  <si>
    <t>Focus</t>
  </si>
  <si>
    <t>Fokus</t>
  </si>
  <si>
    <t>Self-organization</t>
  </si>
  <si>
    <t>Samoorganizacija</t>
  </si>
  <si>
    <t>Energy Management</t>
  </si>
  <si>
    <t>Task Switching</t>
  </si>
  <si>
    <t>Prebacivanje između zadataka</t>
  </si>
  <si>
    <t>Automation Use</t>
  </si>
  <si>
    <t>Korišćenje automatizacije</t>
  </si>
  <si>
    <t>Self-monitoring</t>
  </si>
  <si>
    <t>Samomonitoring</t>
  </si>
  <si>
    <t>Problem Solving</t>
  </si>
  <si>
    <t>Analysis</t>
  </si>
  <si>
    <t>Analiza</t>
  </si>
  <si>
    <t>Synthesis</t>
  </si>
  <si>
    <t>Sinergija/sinteza</t>
  </si>
  <si>
    <t>Decision Quality</t>
  </si>
  <si>
    <t>Kvalitet odluke</t>
  </si>
  <si>
    <t>Risk Assessment</t>
  </si>
  <si>
    <t>Root-cause Thinking</t>
  </si>
  <si>
    <t>Uzročno razmišljanje</t>
  </si>
  <si>
    <t>Option Generation</t>
  </si>
  <si>
    <t>Generisanje opcija</t>
  </si>
  <si>
    <t>Trade-off Clarity</t>
  </si>
  <si>
    <t>Jasnoća kompromisa</t>
  </si>
  <si>
    <t>Outcome Testing</t>
  </si>
  <si>
    <t>Testiranje ishoda</t>
  </si>
  <si>
    <t>Learning &amp; New Digital Skills</t>
  </si>
  <si>
    <t>Digital Literacy</t>
  </si>
  <si>
    <t>Digitalna pismenost</t>
  </si>
  <si>
    <t>Tool Adoption</t>
  </si>
  <si>
    <t>Usvajanje alata</t>
  </si>
  <si>
    <t>Data Handling</t>
  </si>
  <si>
    <t>Rukovanje podacima</t>
  </si>
  <si>
    <t>Self-learning</t>
  </si>
  <si>
    <t>Samoučenje</t>
  </si>
  <si>
    <t>Knowledge Sharing</t>
  </si>
  <si>
    <t>Deljenje znanja</t>
  </si>
  <si>
    <t>AI Collaboration</t>
  </si>
  <si>
    <t>Saradnja sa veštačkom inteligencijom</t>
  </si>
  <si>
    <t>Rapid Upskilling</t>
  </si>
  <si>
    <t>Brzo usavršavanje</t>
  </si>
  <si>
    <t>Tech Curiosity</t>
  </si>
  <si>
    <t>Tehnološka radoznalost</t>
  </si>
  <si>
    <t>Conscious Listening</t>
  </si>
  <si>
    <t>Active Listening</t>
  </si>
  <si>
    <t>Aktivno slušanje</t>
  </si>
  <si>
    <t>Non-interruptive</t>
  </si>
  <si>
    <t>Ne prekida druge</t>
  </si>
  <si>
    <t>Clarifying Questions</t>
  </si>
  <si>
    <t>Pojašnjavajuća pitanja</t>
  </si>
  <si>
    <t>Reflective Paraphrase</t>
  </si>
  <si>
    <t>Reflektivna parafraza</t>
  </si>
  <si>
    <t>Strpljenje</t>
  </si>
  <si>
    <t>Empathic Mirroring</t>
  </si>
  <si>
    <t>Empatičko ogledanje</t>
  </si>
  <si>
    <t>Signal Reading</t>
  </si>
  <si>
    <t>Čitanje signala</t>
  </si>
  <si>
    <t>Retention</t>
  </si>
  <si>
    <t>Zadržavanje informacija</t>
  </si>
  <si>
    <t>Clear &amp; Concise Communication</t>
  </si>
  <si>
    <t>Clarity</t>
  </si>
  <si>
    <t>Jasnoća</t>
  </si>
  <si>
    <t>Brevity</t>
  </si>
  <si>
    <t>Sažetost</t>
  </si>
  <si>
    <t>Terminology Fit</t>
  </si>
  <si>
    <t>Prilagođen terminologiji</t>
  </si>
  <si>
    <t>Precision</t>
  </si>
  <si>
    <t>Preciznost</t>
  </si>
  <si>
    <t>Actionability</t>
  </si>
  <si>
    <t>Akcionost</t>
  </si>
  <si>
    <t>Visual Aids</t>
  </si>
  <si>
    <t>Vizuelna pomoć</t>
  </si>
  <si>
    <t>Summarization</t>
  </si>
  <si>
    <t>Sažimanje</t>
  </si>
  <si>
    <t>Persuasive Communication</t>
  </si>
  <si>
    <t>Uticaj</t>
  </si>
  <si>
    <t>Evidence Use</t>
  </si>
  <si>
    <t>Korišćenje dokaza</t>
  </si>
  <si>
    <t>Benefit Framing</t>
  </si>
  <si>
    <t>Kadriranje koristi</t>
  </si>
  <si>
    <t>Objection Handling</t>
  </si>
  <si>
    <t>Rukovanje prigovorima</t>
  </si>
  <si>
    <t>Call to Action</t>
  </si>
  <si>
    <t>Poziv na akciju</t>
  </si>
  <si>
    <t>Authority Build</t>
  </si>
  <si>
    <t>Izgradnja autoriteta</t>
  </si>
  <si>
    <t>Social Proof</t>
  </si>
  <si>
    <t>Društveni dokaz</t>
  </si>
  <si>
    <t>Intentional Communication</t>
  </si>
  <si>
    <t>Purposefulness</t>
  </si>
  <si>
    <t>Svrhovitost</t>
  </si>
  <si>
    <t>Audience Fit</t>
  </si>
  <si>
    <t>Prilagođavanje publici</t>
  </si>
  <si>
    <t>Empathic Tone</t>
  </si>
  <si>
    <t>Empatičan ton</t>
  </si>
  <si>
    <t>Timing</t>
  </si>
  <si>
    <t>Tajming</t>
  </si>
  <si>
    <t>Channel Fit</t>
  </si>
  <si>
    <t>Izbor kanala</t>
  </si>
  <si>
    <t>Follow-up</t>
  </si>
  <si>
    <t>Praćenje</t>
  </si>
  <si>
    <t>Feedback Loop</t>
  </si>
  <si>
    <t>Povratna petlja</t>
  </si>
  <si>
    <t>Building Rapport</t>
  </si>
  <si>
    <t>Trust Build</t>
  </si>
  <si>
    <t>Izgradnja poverenja</t>
  </si>
  <si>
    <t>Konzistentnost</t>
  </si>
  <si>
    <t>Small Wins</t>
  </si>
  <si>
    <t>Mali uspesi</t>
  </si>
  <si>
    <t>Relational Memory</t>
  </si>
  <si>
    <t>Relacijska memorija</t>
  </si>
  <si>
    <t>Genuine Interest</t>
  </si>
  <si>
    <t>Istinsko interesovanje</t>
  </si>
  <si>
    <t>Cultural Sensitivity</t>
  </si>
  <si>
    <t>Awareness</t>
  </si>
  <si>
    <t>Svesnost</t>
  </si>
  <si>
    <t>Respect</t>
  </si>
  <si>
    <t>Poštovanje</t>
  </si>
  <si>
    <t>Adaptation</t>
  </si>
  <si>
    <t>Adaptacija</t>
  </si>
  <si>
    <t>Local Nuance</t>
  </si>
  <si>
    <t>Lokalne nijanse</t>
  </si>
  <si>
    <t>Bias Checking</t>
  </si>
  <si>
    <t>Provera pristrasnosti</t>
  </si>
  <si>
    <t>Inclusion</t>
  </si>
  <si>
    <t>Uključivanje</t>
  </si>
  <si>
    <t>Language Sensitivity</t>
  </si>
  <si>
    <t>Jezička osetljivost</t>
  </si>
  <si>
    <t>Fair Exposure</t>
  </si>
  <si>
    <t>Fer izloženost</t>
  </si>
  <si>
    <t>Diplomacy and Tact</t>
  </si>
  <si>
    <t>Balance</t>
  </si>
  <si>
    <t>Balans</t>
  </si>
  <si>
    <t>Face-saving</t>
  </si>
  <si>
    <t>Čuvanje obraza</t>
  </si>
  <si>
    <t>Neutral Mediation</t>
  </si>
  <si>
    <t>Neutralna medijacija</t>
  </si>
  <si>
    <t>Non-reactivity</t>
  </si>
  <si>
    <t>Nereaktivnost</t>
  </si>
  <si>
    <t>Win–win Framing</t>
  </si>
  <si>
    <t>Win–win kadrovi</t>
  </si>
  <si>
    <t>Boundary Setting</t>
  </si>
  <si>
    <t>Postavljanje granica</t>
  </si>
  <si>
    <t>Reach</t>
  </si>
  <si>
    <t>Domet</t>
  </si>
  <si>
    <t>Reciprocity</t>
  </si>
  <si>
    <t>Reciprocitet</t>
  </si>
  <si>
    <t>Bridge-building</t>
  </si>
  <si>
    <t xml:space="preserve">Povezivanje sa drugima </t>
  </si>
  <si>
    <t>Ecosystem Thinking</t>
  </si>
  <si>
    <t>Eko-sistemsko razmišljanje</t>
  </si>
  <si>
    <t>Stakeholder Mapping</t>
  </si>
  <si>
    <t>Mapiranje stejkholdera</t>
  </si>
  <si>
    <t>Follow-ups</t>
  </si>
  <si>
    <t>Praćenja</t>
  </si>
  <si>
    <t>Referral Flow</t>
  </si>
  <si>
    <t>Protok preporuka</t>
  </si>
  <si>
    <t>Community Presence</t>
  </si>
  <si>
    <t>Prisutnost u zajednici</t>
  </si>
  <si>
    <t>How Do I Make Others Feel?</t>
  </si>
  <si>
    <t>Authentic Presence</t>
  </si>
  <si>
    <t>Autentično prisustvo</t>
  </si>
  <si>
    <t>Empathic Responsiveness</t>
  </si>
  <si>
    <t>Empatički odgovor</t>
  </si>
  <si>
    <t>Inclusion &amp; Appreciation</t>
  </si>
  <si>
    <t>Uključivanje i uvažavanje</t>
  </si>
  <si>
    <t>Reliable Support</t>
  </si>
  <si>
    <t>Pouzdana podrška</t>
  </si>
  <si>
    <t>Recognition</t>
  </si>
  <si>
    <t>Priznanje</t>
  </si>
  <si>
    <t>Fair Attribution</t>
  </si>
  <si>
    <t>Fer atribucija</t>
  </si>
  <si>
    <t>Role Modeling</t>
  </si>
  <si>
    <t>Uloga-model</t>
  </si>
  <si>
    <t>How Do I Induce Action in Others?</t>
  </si>
  <si>
    <t>Visionary Inspiration</t>
  </si>
  <si>
    <t>Vizionarska inspiracija</t>
  </si>
  <si>
    <t>Empowering Delegation</t>
  </si>
  <si>
    <t>Osnažujuća delegacija</t>
  </si>
  <si>
    <t>Accountable Empowerment</t>
  </si>
  <si>
    <t>Odgovorno osnaživanje</t>
  </si>
  <si>
    <t>Clear Ask</t>
  </si>
  <si>
    <t>Jasan zahtev</t>
  </si>
  <si>
    <t>Sense of Urgency</t>
  </si>
  <si>
    <t>Osećaj hitnosti</t>
  </si>
  <si>
    <t>Standards Raising</t>
  </si>
  <si>
    <t>Podizanje standarda</t>
  </si>
  <si>
    <t>Ownership Transfer</t>
  </si>
  <si>
    <t>Transfer vlasništva</t>
  </si>
  <si>
    <t>Workflow</t>
  </si>
  <si>
    <t>Stress Resilience</t>
  </si>
  <si>
    <t>Otpornost na stres</t>
  </si>
  <si>
    <t>Prefer higher</t>
  </si>
  <si>
    <t>Poželjno više</t>
  </si>
  <si>
    <t>Energy</t>
  </si>
  <si>
    <t>Energija</t>
  </si>
  <si>
    <t>Recovery</t>
  </si>
  <si>
    <t>Oporavak</t>
  </si>
  <si>
    <t>Optimism</t>
  </si>
  <si>
    <t>Optimizam</t>
  </si>
  <si>
    <t>Sleep Hygiene</t>
  </si>
  <si>
    <t>Higijena sna</t>
  </si>
  <si>
    <t>Mind–body Awareness</t>
  </si>
  <si>
    <t>Svest o telu i umu</t>
  </si>
  <si>
    <t>Self-care</t>
  </si>
  <si>
    <t>Briga o sebi</t>
  </si>
  <si>
    <t>Burnout Risk (low)</t>
  </si>
  <si>
    <t>Rizik od sagorevanja (nizak)</t>
  </si>
  <si>
    <t>Vlasništvo</t>
  </si>
  <si>
    <t>Discretionary Effort</t>
  </si>
  <si>
    <t>Diskrecioni napor</t>
  </si>
  <si>
    <t>Loyalty</t>
  </si>
  <si>
    <t>Lojalnost</t>
  </si>
  <si>
    <t>Participation</t>
  </si>
  <si>
    <t>Učešće</t>
  </si>
  <si>
    <t>Goal Connection</t>
  </si>
  <si>
    <t>Povezanost sa ciljevima</t>
  </si>
  <si>
    <t>Proactivity</t>
  </si>
  <si>
    <t>Proaktivnost</t>
  </si>
  <si>
    <t>Learning Drive</t>
  </si>
  <si>
    <t>Fulfillment</t>
  </si>
  <si>
    <t>Ispunjenost</t>
  </si>
  <si>
    <t>Value Alignment</t>
  </si>
  <si>
    <t>Usklađenost vrednosti</t>
  </si>
  <si>
    <t>Perceived Fairness</t>
  </si>
  <si>
    <t>Doživljena pravičnost</t>
  </si>
  <si>
    <t>Team Climate</t>
  </si>
  <si>
    <t>Timsku klimu</t>
  </si>
  <si>
    <t>Role Clarity</t>
  </si>
  <si>
    <t>Jasnoća uloge</t>
  </si>
  <si>
    <t>Growth Opportunities</t>
  </si>
  <si>
    <t>Mogućnosti rasta</t>
  </si>
  <si>
    <t>Work Conditions</t>
  </si>
  <si>
    <t>Uslovi rada</t>
  </si>
  <si>
    <t>Compensation Perception</t>
  </si>
  <si>
    <t>Doživljaj kompenzacije</t>
  </si>
  <si>
    <t>Manager Support</t>
  </si>
  <si>
    <t>Podrška menadžera</t>
  </si>
  <si>
    <t>Item (EN/SR)</t>
  </si>
  <si>
    <t>Description</t>
  </si>
  <si>
    <t>HR Rating (1-5)</t>
  </si>
  <si>
    <t>Ideal Score</t>
  </si>
  <si>
    <t>Realan kandidat (vrednosti iz tabele)</t>
  </si>
  <si>
    <t>Deviation % (koliko realan kandidat odstupa od idealnog)</t>
  </si>
  <si>
    <t>Fit index (koliko je blizu idealnom profilu)</t>
  </si>
  <si>
    <t>Fit index ukupni</t>
  </si>
  <si>
    <t>Investment index (koliko % ulaganja je potrebno da kandidat bude idealan)</t>
  </si>
  <si>
    <t>Integrity &amp; Transparency / Integritet i transparentnost</t>
  </si>
  <si>
    <t>Ethical consistency, fairness, non-manipulative</t>
  </si>
  <si>
    <t>Modesty &amp; Non-manipulation / Skromnost i odsustvo manipulacije</t>
  </si>
  <si>
    <t>Low self-promotion, genuine cooperation</t>
  </si>
  <si>
    <t>Stability Under Pressure / Stabilnost pod pritiskom</t>
  </si>
  <si>
    <t>Composure, stress tolerance</t>
  </si>
  <si>
    <t>Empathy &amp; Compassion / Empatija i saosećanje</t>
  </si>
  <si>
    <t>Warmth, care for others</t>
  </si>
  <si>
    <t>Energy &amp; Presence / Energija i prisutnost</t>
  </si>
  <si>
    <t>Motivational tone, visibility</t>
  </si>
  <si>
    <t>Sociability &amp; Initiative / Sociabilnost i inicijativa</t>
  </si>
  <si>
    <t>Networking, approachability</t>
  </si>
  <si>
    <t>Tact &amp; Cooperation / Takt i saradljivost</t>
  </si>
  <si>
    <t>Conflict de-escalation, diplomacy</t>
  </si>
  <si>
    <t>360</t>
  </si>
  <si>
    <t>Patience &amp; Tolerance / Strpljenje i tolerancija</t>
  </si>
  <si>
    <t>Even-keeled, non-defensive</t>
  </si>
  <si>
    <t>Organization &amp; Reliability / Organizovanost i pouzdanost</t>
  </si>
  <si>
    <t>Planning, follow-through</t>
  </si>
  <si>
    <t>Detail &amp; Discipline / Detaljnost i disciplina</t>
  </si>
  <si>
    <t>Quality focus, review rigor</t>
  </si>
  <si>
    <t>Curiosity &amp; Learning / Radoznalost i učenje</t>
  </si>
  <si>
    <t>Questioning, evidence seeking</t>
  </si>
  <si>
    <t>Creativity &amp; Flexibility / Kreativnost i fleksibilnost</t>
  </si>
  <si>
    <t>Reframing, novel solutions</t>
  </si>
  <si>
    <t>Goal Setting (Short-term) / Postavljanje ciljeva (kratkoročno)</t>
  </si>
  <si>
    <t>Prioritization, execution, speed</t>
  </si>
  <si>
    <t>Strategic Vision (Long-term) / Strateška vizija (dugoročno)</t>
  </si>
  <si>
    <t>Foresight, scalability</t>
  </si>
  <si>
    <t>Self-awareness &amp; Growth / Samosvest i rastući mentalitet</t>
  </si>
  <si>
    <t>Reflection, learning agility</t>
  </si>
  <si>
    <t>Collaboration &amp; Care for Others / Saradnja i odnos prema drugima</t>
  </si>
  <si>
    <t>Team commitment, inclusion</t>
  </si>
  <si>
    <t>Time &amp; Personal Efficiency / Upravljanje vremenom i efikasnost</t>
  </si>
  <si>
    <t>Focus, self-organization</t>
  </si>
  <si>
    <t>Analytical Problem Solving / Analitičko rešavanje problema</t>
  </si>
  <si>
    <t>Decision quality, root-cause</t>
  </si>
  <si>
    <t>Clarity &amp; Brevity / Jasna i sažeta komunikacija</t>
  </si>
  <si>
    <t>Structure, precision</t>
  </si>
  <si>
    <t>Active Listening / Aktivno slušanje</t>
  </si>
  <si>
    <t>Paraphrase, clarifying questions</t>
  </si>
  <si>
    <t>Building Trust &amp; Rapport / Izgradnja poverenja i odnosa</t>
  </si>
  <si>
    <t>Warmth, consistency</t>
  </si>
  <si>
    <t>Cultural Sensitivity &amp; Tact / Kulturna osetljivost i takt</t>
  </si>
  <si>
    <t>Adaptation, respect</t>
  </si>
  <si>
    <t>Inspirational Impact / Inspirativni uticaj</t>
  </si>
  <si>
    <t>Vision, recognition</t>
  </si>
  <si>
    <t>Delegation &amp; Empowerment / Delegiranje i osnaživanje</t>
  </si>
  <si>
    <t>Clear ask, accountability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</si>
</sst>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B5563"/>
        <bgColor rgb="FF4B5563"/>
      </patternFill>
    </fill>
    <fill>
      <patternFill patternType="solid">
        <fgColor rgb="FFD1FAE5"/>
        <bgColor rgb="FFD1FAE5"/>
      </patternFill>
    </fill>
    <fill>
      <patternFill patternType="solid">
        <fgColor rgb="FFDBEAFE"/>
        <bgColor rgb="FFDBEAFE"/>
      </patternFill>
    </fill>
    <fill>
      <patternFill patternType="solid">
        <fgColor rgb="FFFFEFD6"/>
        <bgColor rgb="FFFFEFD6"/>
      </patternFill>
    </fill>
    <fill>
      <patternFill patternType="solid">
        <fgColor rgb="FF374151"/>
        <bgColor rgb="FF37415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Border="1" applyFill="1" applyFont="1"/>
    <xf borderId="0" fillId="0" fontId="3" numFmtId="0" xfId="0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K2" s="3" t="s">
        <v>28</v>
      </c>
      <c r="L2" s="3" t="str">
        <f>AVERAGE(I2:I33)</f>
        <v>#DIV/0!</v>
      </c>
      <c r="N2" s="3" t="str">
        <f t="shared" ref="N2:N16" si="1">ABS(L2 - M2) / 5 * 100</f>
        <v>#DIV/0!</v>
      </c>
      <c r="O2" s="3" t="str">
        <f t="shared" ref="O2:O16" si="2">((5 - ABS(L2 - M2)) / 5) * J2</f>
        <v>#DIV/0!</v>
      </c>
      <c r="P2" s="3">
        <f>SUM(J2:J16)</f>
        <v>0</v>
      </c>
      <c r="Q2" s="3" t="str">
        <f>SUM(O2:O16)</f>
        <v>#DIV/0!</v>
      </c>
      <c r="R2" s="3" t="str">
        <f>(Q2 / P2) * 100</f>
        <v>#DIV/0!</v>
      </c>
      <c r="S2" s="3" t="str">
        <f>100 - R2</f>
        <v>#DIV/0!</v>
      </c>
      <c r="T2" s="3" t="str">
        <f>IF(R2="","",
   IF(R2&lt;60,
      "High Development Need – kandidat značajno odstupa od idealnog profila; potrebno intenzivno ulaganje i mentorstvo.",
      IF(R2&lt;80,
         "Moderate Fit – kandidat je blizu ideala; zahteva ciljane razvojne aktivnosti za ključne atribute.",
         "Strong Fit – kandidat visoko usklađen sa idealom; minimalna potreba za dodatnim razvojem."
      )
   )
)</f>
        <v>#DIV/0!</v>
      </c>
    </row>
    <row r="3" ht="14.25" customHeight="1">
      <c r="A3" s="2" t="s">
        <v>20</v>
      </c>
      <c r="B3" s="2" t="s">
        <v>21</v>
      </c>
      <c r="C3" s="2" t="s">
        <v>22</v>
      </c>
      <c r="D3" s="2" t="s">
        <v>29</v>
      </c>
      <c r="E3" s="2" t="s">
        <v>30</v>
      </c>
      <c r="F3" s="2" t="s">
        <v>25</v>
      </c>
      <c r="G3" s="2" t="s">
        <v>26</v>
      </c>
      <c r="H3" s="2" t="s">
        <v>27</v>
      </c>
      <c r="K3" s="3" t="s">
        <v>31</v>
      </c>
      <c r="L3" s="3" t="str">
        <f>AVERAGE(I34:I65)</f>
        <v>#DIV/0!</v>
      </c>
      <c r="N3" s="3" t="str">
        <f t="shared" si="1"/>
        <v>#DIV/0!</v>
      </c>
      <c r="O3" s="3" t="str">
        <f t="shared" si="2"/>
        <v>#DIV/0!</v>
      </c>
    </row>
    <row r="4" ht="14.25" customHeight="1">
      <c r="A4" s="2" t="s">
        <v>20</v>
      </c>
      <c r="B4" s="2" t="s">
        <v>21</v>
      </c>
      <c r="C4" s="2" t="s">
        <v>22</v>
      </c>
      <c r="D4" s="2" t="s">
        <v>32</v>
      </c>
      <c r="E4" s="2" t="s">
        <v>33</v>
      </c>
      <c r="F4" s="2" t="s">
        <v>25</v>
      </c>
      <c r="G4" s="2" t="s">
        <v>26</v>
      </c>
      <c r="H4" s="2" t="s">
        <v>27</v>
      </c>
      <c r="K4" s="3" t="s">
        <v>34</v>
      </c>
      <c r="L4" s="3" t="str">
        <f>AVERAGE(I66:I97)</f>
        <v>#DIV/0!</v>
      </c>
      <c r="N4" s="3" t="str">
        <f t="shared" si="1"/>
        <v>#DIV/0!</v>
      </c>
      <c r="O4" s="3" t="str">
        <f t="shared" si="2"/>
        <v>#DIV/0!</v>
      </c>
    </row>
    <row r="5" ht="14.25" customHeight="1">
      <c r="A5" s="2" t="s">
        <v>20</v>
      </c>
      <c r="B5" s="2" t="s">
        <v>21</v>
      </c>
      <c r="C5" s="2" t="s">
        <v>22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27</v>
      </c>
      <c r="K5" s="3" t="s">
        <v>37</v>
      </c>
      <c r="L5" s="3" t="str">
        <f>AVERAGE(I98:I129)</f>
        <v>#DIV/0!</v>
      </c>
      <c r="N5" s="3" t="str">
        <f t="shared" si="1"/>
        <v>#DIV/0!</v>
      </c>
      <c r="O5" s="3" t="str">
        <f t="shared" si="2"/>
        <v>#DIV/0!</v>
      </c>
    </row>
    <row r="6" ht="14.25" customHeight="1">
      <c r="A6" s="2" t="s">
        <v>20</v>
      </c>
      <c r="B6" s="2" t="s">
        <v>21</v>
      </c>
      <c r="C6" s="2" t="s">
        <v>22</v>
      </c>
      <c r="D6" s="2" t="s">
        <v>38</v>
      </c>
      <c r="E6" s="2" t="s">
        <v>39</v>
      </c>
      <c r="F6" s="2" t="s">
        <v>25</v>
      </c>
      <c r="G6" s="2" t="s">
        <v>26</v>
      </c>
      <c r="H6" s="2" t="s">
        <v>27</v>
      </c>
      <c r="K6" s="3" t="s">
        <v>40</v>
      </c>
      <c r="L6" s="3" t="str">
        <f>AVERAGE(I130:I161)</f>
        <v>#DIV/0!</v>
      </c>
      <c r="N6" s="3" t="str">
        <f t="shared" si="1"/>
        <v>#DIV/0!</v>
      </c>
      <c r="O6" s="3" t="str">
        <f t="shared" si="2"/>
        <v>#DIV/0!</v>
      </c>
    </row>
    <row r="7" ht="14.25" customHeight="1">
      <c r="A7" s="2" t="s">
        <v>20</v>
      </c>
      <c r="B7" s="2" t="s">
        <v>21</v>
      </c>
      <c r="C7" s="2" t="s">
        <v>22</v>
      </c>
      <c r="D7" s="2" t="s">
        <v>41</v>
      </c>
      <c r="E7" s="2" t="s">
        <v>42</v>
      </c>
      <c r="F7" s="2" t="s">
        <v>25</v>
      </c>
      <c r="G7" s="2" t="s">
        <v>26</v>
      </c>
      <c r="H7" s="2" t="s">
        <v>27</v>
      </c>
      <c r="K7" s="3" t="s">
        <v>43</v>
      </c>
      <c r="L7" s="3" t="str">
        <f>AVERAGE(I162:I193)</f>
        <v>#DIV/0!</v>
      </c>
      <c r="N7" s="3" t="str">
        <f t="shared" si="1"/>
        <v>#DIV/0!</v>
      </c>
      <c r="O7" s="3" t="str">
        <f t="shared" si="2"/>
        <v>#DIV/0!</v>
      </c>
    </row>
    <row r="8" ht="14.25" customHeight="1">
      <c r="A8" s="2" t="s">
        <v>20</v>
      </c>
      <c r="B8" s="2" t="s">
        <v>21</v>
      </c>
      <c r="C8" s="2" t="s">
        <v>22</v>
      </c>
      <c r="D8" s="2" t="s">
        <v>44</v>
      </c>
      <c r="E8" s="2" t="s">
        <v>45</v>
      </c>
      <c r="F8" s="2" t="s">
        <v>25</v>
      </c>
      <c r="G8" s="2" t="s">
        <v>26</v>
      </c>
      <c r="H8" s="2" t="s">
        <v>27</v>
      </c>
      <c r="K8" s="3" t="s">
        <v>46</v>
      </c>
      <c r="L8" s="3" t="str">
        <f>AVERAGE(I194:I209)</f>
        <v>#DIV/0!</v>
      </c>
      <c r="N8" s="3" t="str">
        <f t="shared" si="1"/>
        <v>#DIV/0!</v>
      </c>
      <c r="O8" s="3" t="str">
        <f t="shared" si="2"/>
        <v>#DIV/0!</v>
      </c>
    </row>
    <row r="9" ht="14.25" customHeight="1">
      <c r="A9" s="2" t="s">
        <v>20</v>
      </c>
      <c r="B9" s="2" t="s">
        <v>21</v>
      </c>
      <c r="C9" s="2" t="s">
        <v>22</v>
      </c>
      <c r="D9" s="2" t="s">
        <v>47</v>
      </c>
      <c r="E9" s="2" t="s">
        <v>48</v>
      </c>
      <c r="F9" s="2" t="s">
        <v>25</v>
      </c>
      <c r="G9" s="2" t="s">
        <v>26</v>
      </c>
      <c r="H9" s="2" t="s">
        <v>27</v>
      </c>
      <c r="K9" s="3" t="s">
        <v>49</v>
      </c>
      <c r="L9" s="3" t="str">
        <f>AVERAGE(I210:I233)</f>
        <v>#DIV/0!</v>
      </c>
      <c r="N9" s="3" t="str">
        <f t="shared" si="1"/>
        <v>#DIV/0!</v>
      </c>
      <c r="O9" s="3" t="str">
        <f t="shared" si="2"/>
        <v>#DIV/0!</v>
      </c>
    </row>
    <row r="10" ht="14.25" customHeight="1">
      <c r="A10" s="2" t="s">
        <v>20</v>
      </c>
      <c r="B10" s="2" t="s">
        <v>21</v>
      </c>
      <c r="C10" s="2" t="s">
        <v>50</v>
      </c>
      <c r="D10" s="2" t="s">
        <v>51</v>
      </c>
      <c r="E10" s="2" t="s">
        <v>52</v>
      </c>
      <c r="F10" s="2" t="s">
        <v>25</v>
      </c>
      <c r="G10" s="2" t="s">
        <v>26</v>
      </c>
      <c r="H10" s="2" t="s">
        <v>27</v>
      </c>
      <c r="K10" s="3" t="s">
        <v>53</v>
      </c>
      <c r="L10" s="3" t="str">
        <f>AVERAGE(I234:I257)</f>
        <v>#DIV/0!</v>
      </c>
      <c r="N10" s="3" t="str">
        <f t="shared" si="1"/>
        <v>#DIV/0!</v>
      </c>
      <c r="O10" s="3" t="str">
        <f t="shared" si="2"/>
        <v>#DIV/0!</v>
      </c>
    </row>
    <row r="11" ht="14.25" customHeight="1">
      <c r="A11" s="2" t="s">
        <v>20</v>
      </c>
      <c r="B11" s="2" t="s">
        <v>21</v>
      </c>
      <c r="C11" s="2" t="s">
        <v>50</v>
      </c>
      <c r="D11" s="2" t="s">
        <v>54</v>
      </c>
      <c r="E11" s="2" t="s">
        <v>55</v>
      </c>
      <c r="F11" s="2" t="s">
        <v>25</v>
      </c>
      <c r="G11" s="2" t="s">
        <v>26</v>
      </c>
      <c r="H11" s="2" t="s">
        <v>27</v>
      </c>
      <c r="K11" s="3" t="s">
        <v>56</v>
      </c>
      <c r="L11" s="3" t="str">
        <f>AVERAGE(I258:I289)</f>
        <v>#DIV/0!</v>
      </c>
      <c r="N11" s="3" t="str">
        <f t="shared" si="1"/>
        <v>#DIV/0!</v>
      </c>
      <c r="O11" s="3" t="str">
        <f t="shared" si="2"/>
        <v>#DIV/0!</v>
      </c>
    </row>
    <row r="12" ht="14.25" customHeight="1">
      <c r="A12" s="2" t="s">
        <v>20</v>
      </c>
      <c r="B12" s="2" t="s">
        <v>21</v>
      </c>
      <c r="C12" s="2" t="s">
        <v>50</v>
      </c>
      <c r="D12" s="2" t="s">
        <v>57</v>
      </c>
      <c r="E12" s="2" t="s">
        <v>58</v>
      </c>
      <c r="F12" s="2" t="s">
        <v>25</v>
      </c>
      <c r="G12" s="2" t="s">
        <v>26</v>
      </c>
      <c r="H12" s="2" t="s">
        <v>27</v>
      </c>
      <c r="K12" s="3" t="s">
        <v>59</v>
      </c>
      <c r="L12" s="3" t="str">
        <f>AVERAGE(I290:I321)</f>
        <v>#DIV/0!</v>
      </c>
      <c r="N12" s="3" t="str">
        <f t="shared" si="1"/>
        <v>#DIV/0!</v>
      </c>
      <c r="O12" s="3" t="str">
        <f t="shared" si="2"/>
        <v>#DIV/0!</v>
      </c>
    </row>
    <row r="13" ht="14.25" customHeight="1">
      <c r="A13" s="2" t="s">
        <v>20</v>
      </c>
      <c r="B13" s="2" t="s">
        <v>21</v>
      </c>
      <c r="C13" s="2" t="s">
        <v>50</v>
      </c>
      <c r="D13" s="2" t="s">
        <v>60</v>
      </c>
      <c r="E13" s="2" t="s">
        <v>61</v>
      </c>
      <c r="F13" s="2" t="s">
        <v>25</v>
      </c>
      <c r="G13" s="2" t="s">
        <v>26</v>
      </c>
      <c r="H13" s="2" t="s">
        <v>27</v>
      </c>
      <c r="K13" s="3" t="s">
        <v>62</v>
      </c>
      <c r="L13" s="3" t="str">
        <f>AVERAGE(I322:I337)</f>
        <v>#DIV/0!</v>
      </c>
      <c r="N13" s="3" t="str">
        <f t="shared" si="1"/>
        <v>#DIV/0!</v>
      </c>
      <c r="O13" s="3" t="str">
        <f t="shared" si="2"/>
        <v>#DIV/0!</v>
      </c>
    </row>
    <row r="14" ht="14.25" customHeight="1">
      <c r="A14" s="2" t="s">
        <v>20</v>
      </c>
      <c r="B14" s="2" t="s">
        <v>21</v>
      </c>
      <c r="C14" s="2" t="s">
        <v>50</v>
      </c>
      <c r="D14" s="2" t="s">
        <v>63</v>
      </c>
      <c r="E14" s="2" t="s">
        <v>64</v>
      </c>
      <c r="F14" s="2" t="s">
        <v>25</v>
      </c>
      <c r="G14" s="2" t="s">
        <v>26</v>
      </c>
      <c r="H14" s="2" t="s">
        <v>27</v>
      </c>
      <c r="K14" s="3" t="s">
        <v>65</v>
      </c>
      <c r="L14" s="3" t="str">
        <f>AVERAGE(I338:I347)</f>
        <v>#DIV/0!</v>
      </c>
      <c r="N14" s="3" t="str">
        <f t="shared" si="1"/>
        <v>#DIV/0!</v>
      </c>
      <c r="O14" s="3" t="str">
        <f t="shared" si="2"/>
        <v>#DIV/0!</v>
      </c>
    </row>
    <row r="15" ht="14.25" customHeight="1">
      <c r="A15" s="2" t="s">
        <v>20</v>
      </c>
      <c r="B15" s="2" t="s">
        <v>21</v>
      </c>
      <c r="C15" s="2" t="s">
        <v>50</v>
      </c>
      <c r="D15" s="2" t="s">
        <v>66</v>
      </c>
      <c r="E15" s="2" t="s">
        <v>67</v>
      </c>
      <c r="F15" s="2" t="s">
        <v>25</v>
      </c>
      <c r="G15" s="2" t="s">
        <v>26</v>
      </c>
      <c r="H15" s="2" t="s">
        <v>27</v>
      </c>
      <c r="K15" s="3" t="s">
        <v>68</v>
      </c>
      <c r="L15" s="3" t="str">
        <f>AVERAGE(I348:I357)</f>
        <v>#DIV/0!</v>
      </c>
      <c r="N15" s="3" t="str">
        <f t="shared" si="1"/>
        <v>#DIV/0!</v>
      </c>
      <c r="O15" s="3" t="str">
        <f t="shared" si="2"/>
        <v>#DIV/0!</v>
      </c>
    </row>
    <row r="16" ht="14.25" customHeight="1">
      <c r="A16" s="2" t="s">
        <v>20</v>
      </c>
      <c r="B16" s="2" t="s">
        <v>21</v>
      </c>
      <c r="C16" s="2" t="s">
        <v>50</v>
      </c>
      <c r="D16" s="2" t="s">
        <v>69</v>
      </c>
      <c r="E16" s="2" t="s">
        <v>70</v>
      </c>
      <c r="F16" s="2" t="s">
        <v>25</v>
      </c>
      <c r="G16" s="2" t="s">
        <v>26</v>
      </c>
      <c r="H16" s="2" t="s">
        <v>27</v>
      </c>
      <c r="K16" s="3" t="s">
        <v>71</v>
      </c>
      <c r="L16" s="3" t="str">
        <f>AVERAGE(I358:I367)</f>
        <v>#DIV/0!</v>
      </c>
      <c r="N16" s="3" t="str">
        <f t="shared" si="1"/>
        <v>#DIV/0!</v>
      </c>
      <c r="O16" s="3" t="str">
        <f t="shared" si="2"/>
        <v>#DIV/0!</v>
      </c>
    </row>
    <row r="17" ht="14.25" customHeight="1">
      <c r="A17" s="2" t="s">
        <v>20</v>
      </c>
      <c r="B17" s="2" t="s">
        <v>21</v>
      </c>
      <c r="C17" s="2" t="s">
        <v>50</v>
      </c>
      <c r="D17" s="2" t="s">
        <v>72</v>
      </c>
      <c r="E17" s="2" t="s">
        <v>73</v>
      </c>
      <c r="F17" s="2" t="s">
        <v>25</v>
      </c>
      <c r="G17" s="2" t="s">
        <v>26</v>
      </c>
      <c r="H17" s="2" t="s">
        <v>27</v>
      </c>
    </row>
    <row r="18" ht="14.25" customHeight="1">
      <c r="A18" s="2" t="s">
        <v>20</v>
      </c>
      <c r="B18" s="2" t="s">
        <v>21</v>
      </c>
      <c r="C18" s="2" t="s">
        <v>74</v>
      </c>
      <c r="D18" s="2" t="s">
        <v>75</v>
      </c>
      <c r="E18" s="2" t="s">
        <v>76</v>
      </c>
      <c r="F18" s="2" t="s">
        <v>25</v>
      </c>
      <c r="G18" s="2" t="s">
        <v>26</v>
      </c>
      <c r="H18" s="2" t="s">
        <v>27</v>
      </c>
    </row>
    <row r="19" ht="14.25" customHeight="1">
      <c r="A19" s="2" t="s">
        <v>20</v>
      </c>
      <c r="B19" s="2" t="s">
        <v>21</v>
      </c>
      <c r="C19" s="2" t="s">
        <v>74</v>
      </c>
      <c r="D19" s="2" t="s">
        <v>77</v>
      </c>
      <c r="E19" s="2" t="s">
        <v>78</v>
      </c>
      <c r="F19" s="2" t="s">
        <v>25</v>
      </c>
      <c r="G19" s="2" t="s">
        <v>26</v>
      </c>
      <c r="H19" s="2" t="s">
        <v>27</v>
      </c>
    </row>
    <row r="20" ht="14.25" customHeight="1">
      <c r="A20" s="2" t="s">
        <v>20</v>
      </c>
      <c r="B20" s="2" t="s">
        <v>21</v>
      </c>
      <c r="C20" s="2" t="s">
        <v>74</v>
      </c>
      <c r="D20" s="2" t="s">
        <v>79</v>
      </c>
      <c r="E20" s="2" t="s">
        <v>80</v>
      </c>
      <c r="F20" s="2" t="s">
        <v>25</v>
      </c>
      <c r="G20" s="2" t="s">
        <v>26</v>
      </c>
      <c r="H20" s="2" t="s">
        <v>27</v>
      </c>
    </row>
    <row r="21" ht="14.25" customHeight="1">
      <c r="A21" s="2" t="s">
        <v>20</v>
      </c>
      <c r="B21" s="2" t="s">
        <v>21</v>
      </c>
      <c r="C21" s="2" t="s">
        <v>74</v>
      </c>
      <c r="D21" s="2" t="s">
        <v>81</v>
      </c>
      <c r="E21" s="2" t="s">
        <v>82</v>
      </c>
      <c r="F21" s="2" t="s">
        <v>25</v>
      </c>
      <c r="G21" s="2" t="s">
        <v>26</v>
      </c>
      <c r="H21" s="2" t="s">
        <v>27</v>
      </c>
    </row>
    <row r="22" ht="14.25" customHeight="1">
      <c r="A22" s="2" t="s">
        <v>20</v>
      </c>
      <c r="B22" s="2" t="s">
        <v>21</v>
      </c>
      <c r="C22" s="2" t="s">
        <v>74</v>
      </c>
      <c r="D22" s="2" t="s">
        <v>83</v>
      </c>
      <c r="E22" s="2" t="s">
        <v>84</v>
      </c>
      <c r="F22" s="2" t="s">
        <v>25</v>
      </c>
      <c r="G22" s="2" t="s">
        <v>26</v>
      </c>
      <c r="H22" s="2" t="s">
        <v>27</v>
      </c>
    </row>
    <row r="23" ht="14.25" customHeight="1">
      <c r="A23" s="2" t="s">
        <v>20</v>
      </c>
      <c r="B23" s="2" t="s">
        <v>21</v>
      </c>
      <c r="C23" s="2" t="s">
        <v>74</v>
      </c>
      <c r="D23" s="2" t="s">
        <v>85</v>
      </c>
      <c r="E23" s="2" t="s">
        <v>86</v>
      </c>
      <c r="F23" s="2" t="s">
        <v>25</v>
      </c>
      <c r="G23" s="2" t="s">
        <v>26</v>
      </c>
      <c r="H23" s="2" t="s">
        <v>27</v>
      </c>
    </row>
    <row r="24" ht="14.25" customHeight="1">
      <c r="A24" s="2" t="s">
        <v>20</v>
      </c>
      <c r="B24" s="2" t="s">
        <v>21</v>
      </c>
      <c r="C24" s="2" t="s">
        <v>74</v>
      </c>
      <c r="D24" s="2" t="s">
        <v>87</v>
      </c>
      <c r="E24" s="2" t="s">
        <v>88</v>
      </c>
      <c r="F24" s="2" t="s">
        <v>25</v>
      </c>
      <c r="G24" s="2" t="s">
        <v>26</v>
      </c>
      <c r="H24" s="2" t="s">
        <v>27</v>
      </c>
    </row>
    <row r="25" ht="14.25" customHeight="1">
      <c r="A25" s="2" t="s">
        <v>20</v>
      </c>
      <c r="B25" s="2" t="s">
        <v>21</v>
      </c>
      <c r="C25" s="2" t="s">
        <v>74</v>
      </c>
      <c r="D25" s="2" t="s">
        <v>89</v>
      </c>
      <c r="E25" s="2" t="s">
        <v>90</v>
      </c>
      <c r="F25" s="2" t="s">
        <v>25</v>
      </c>
      <c r="G25" s="2" t="s">
        <v>26</v>
      </c>
      <c r="H25" s="2" t="s">
        <v>27</v>
      </c>
    </row>
    <row r="26" ht="14.25" customHeight="1">
      <c r="A26" s="2" t="s">
        <v>20</v>
      </c>
      <c r="B26" s="2" t="s">
        <v>21</v>
      </c>
      <c r="C26" s="2" t="s">
        <v>91</v>
      </c>
      <c r="D26" s="2" t="s">
        <v>92</v>
      </c>
      <c r="E26" s="2" t="s">
        <v>93</v>
      </c>
      <c r="F26" s="2" t="s">
        <v>25</v>
      </c>
      <c r="G26" s="2" t="s">
        <v>26</v>
      </c>
      <c r="H26" s="2" t="s">
        <v>27</v>
      </c>
    </row>
    <row r="27" ht="14.25" customHeight="1">
      <c r="A27" s="2" t="s">
        <v>20</v>
      </c>
      <c r="B27" s="2" t="s">
        <v>21</v>
      </c>
      <c r="C27" s="2" t="s">
        <v>91</v>
      </c>
      <c r="D27" s="2" t="s">
        <v>94</v>
      </c>
      <c r="E27" s="2" t="s">
        <v>95</v>
      </c>
      <c r="F27" s="2" t="s">
        <v>25</v>
      </c>
      <c r="G27" s="2" t="s">
        <v>26</v>
      </c>
      <c r="H27" s="2" t="s">
        <v>27</v>
      </c>
    </row>
    <row r="28" ht="14.25" customHeight="1">
      <c r="A28" s="2" t="s">
        <v>20</v>
      </c>
      <c r="B28" s="2" t="s">
        <v>21</v>
      </c>
      <c r="C28" s="2" t="s">
        <v>91</v>
      </c>
      <c r="D28" s="2" t="s">
        <v>96</v>
      </c>
      <c r="E28" s="2" t="s">
        <v>97</v>
      </c>
      <c r="F28" s="2" t="s">
        <v>25</v>
      </c>
      <c r="G28" s="2" t="s">
        <v>26</v>
      </c>
      <c r="H28" s="2" t="s">
        <v>27</v>
      </c>
    </row>
    <row r="29" ht="14.25" customHeight="1">
      <c r="A29" s="2" t="s">
        <v>20</v>
      </c>
      <c r="B29" s="2" t="s">
        <v>21</v>
      </c>
      <c r="C29" s="2" t="s">
        <v>91</v>
      </c>
      <c r="D29" s="2" t="s">
        <v>98</v>
      </c>
      <c r="E29" s="2" t="s">
        <v>99</v>
      </c>
      <c r="F29" s="2" t="s">
        <v>25</v>
      </c>
      <c r="G29" s="2" t="s">
        <v>26</v>
      </c>
      <c r="H29" s="2" t="s">
        <v>27</v>
      </c>
    </row>
    <row r="30" ht="14.25" customHeight="1">
      <c r="A30" s="2" t="s">
        <v>20</v>
      </c>
      <c r="B30" s="2" t="s">
        <v>21</v>
      </c>
      <c r="C30" s="2" t="s">
        <v>91</v>
      </c>
      <c r="D30" s="2" t="s">
        <v>100</v>
      </c>
      <c r="E30" s="2" t="s">
        <v>101</v>
      </c>
      <c r="F30" s="2" t="s">
        <v>25</v>
      </c>
      <c r="G30" s="2" t="s">
        <v>26</v>
      </c>
      <c r="H30" s="2" t="s">
        <v>27</v>
      </c>
    </row>
    <row r="31" ht="14.25" customHeight="1">
      <c r="A31" s="2" t="s">
        <v>20</v>
      </c>
      <c r="B31" s="2" t="s">
        <v>21</v>
      </c>
      <c r="C31" s="2" t="s">
        <v>91</v>
      </c>
      <c r="D31" s="2" t="s">
        <v>102</v>
      </c>
      <c r="E31" s="2" t="s">
        <v>103</v>
      </c>
      <c r="F31" s="2" t="s">
        <v>25</v>
      </c>
      <c r="G31" s="2" t="s">
        <v>26</v>
      </c>
      <c r="H31" s="2" t="s">
        <v>27</v>
      </c>
    </row>
    <row r="32" ht="14.25" customHeight="1">
      <c r="A32" s="2" t="s">
        <v>20</v>
      </c>
      <c r="B32" s="2" t="s">
        <v>21</v>
      </c>
      <c r="C32" s="2" t="s">
        <v>91</v>
      </c>
      <c r="D32" s="2" t="s">
        <v>104</v>
      </c>
      <c r="E32" s="2" t="s">
        <v>105</v>
      </c>
      <c r="F32" s="2" t="s">
        <v>25</v>
      </c>
      <c r="G32" s="2" t="s">
        <v>26</v>
      </c>
      <c r="H32" s="2" t="s">
        <v>27</v>
      </c>
    </row>
    <row r="33" ht="14.25" customHeight="1">
      <c r="A33" s="2" t="s">
        <v>20</v>
      </c>
      <c r="B33" s="2" t="s">
        <v>21</v>
      </c>
      <c r="C33" s="2" t="s">
        <v>91</v>
      </c>
      <c r="D33" s="2" t="s">
        <v>106</v>
      </c>
      <c r="E33" s="2" t="s">
        <v>107</v>
      </c>
      <c r="F33" s="2" t="s">
        <v>25</v>
      </c>
      <c r="G33" s="2" t="s">
        <v>26</v>
      </c>
      <c r="H33" s="2" t="s">
        <v>27</v>
      </c>
    </row>
    <row r="34" ht="14.25" customHeight="1">
      <c r="A34" s="2" t="s">
        <v>20</v>
      </c>
      <c r="B34" s="2" t="s">
        <v>108</v>
      </c>
      <c r="C34" s="2" t="s">
        <v>109</v>
      </c>
      <c r="D34" s="2" t="s">
        <v>110</v>
      </c>
      <c r="E34" s="2" t="s">
        <v>111</v>
      </c>
      <c r="F34" s="2" t="s">
        <v>25</v>
      </c>
      <c r="G34" s="2" t="s">
        <v>26</v>
      </c>
      <c r="H34" s="2" t="s">
        <v>27</v>
      </c>
    </row>
    <row r="35" ht="14.25" customHeight="1">
      <c r="A35" s="2" t="s">
        <v>20</v>
      </c>
      <c r="B35" s="2" t="s">
        <v>108</v>
      </c>
      <c r="C35" s="2" t="s">
        <v>109</v>
      </c>
      <c r="D35" s="2" t="s">
        <v>112</v>
      </c>
      <c r="E35" s="2" t="s">
        <v>113</v>
      </c>
      <c r="F35" s="2" t="s">
        <v>25</v>
      </c>
      <c r="G35" s="2" t="s">
        <v>26</v>
      </c>
      <c r="H35" s="2" t="s">
        <v>27</v>
      </c>
    </row>
    <row r="36" ht="14.25" customHeight="1">
      <c r="A36" s="2" t="s">
        <v>20</v>
      </c>
      <c r="B36" s="2" t="s">
        <v>108</v>
      </c>
      <c r="C36" s="2" t="s">
        <v>109</v>
      </c>
      <c r="D36" s="2" t="s">
        <v>114</v>
      </c>
      <c r="E36" s="2" t="s">
        <v>115</v>
      </c>
      <c r="F36" s="2" t="s">
        <v>25</v>
      </c>
      <c r="G36" s="2" t="s">
        <v>26</v>
      </c>
      <c r="H36" s="2" t="s">
        <v>27</v>
      </c>
    </row>
    <row r="37" ht="14.25" customHeight="1">
      <c r="A37" s="2" t="s">
        <v>20</v>
      </c>
      <c r="B37" s="2" t="s">
        <v>108</v>
      </c>
      <c r="C37" s="2" t="s">
        <v>109</v>
      </c>
      <c r="D37" s="2" t="s">
        <v>116</v>
      </c>
      <c r="E37" s="2" t="s">
        <v>117</v>
      </c>
      <c r="F37" s="2" t="s">
        <v>25</v>
      </c>
      <c r="G37" s="2" t="s">
        <v>26</v>
      </c>
      <c r="H37" s="2" t="s">
        <v>27</v>
      </c>
    </row>
    <row r="38" ht="14.25" customHeight="1">
      <c r="A38" s="2" t="s">
        <v>20</v>
      </c>
      <c r="B38" s="2" t="s">
        <v>108</v>
      </c>
      <c r="C38" s="2" t="s">
        <v>109</v>
      </c>
      <c r="D38" s="2" t="s">
        <v>118</v>
      </c>
      <c r="E38" s="2" t="s">
        <v>119</v>
      </c>
      <c r="F38" s="2" t="s">
        <v>25</v>
      </c>
      <c r="G38" s="2" t="s">
        <v>26</v>
      </c>
      <c r="H38" s="2" t="s">
        <v>27</v>
      </c>
    </row>
    <row r="39" ht="14.25" customHeight="1">
      <c r="A39" s="2" t="s">
        <v>20</v>
      </c>
      <c r="B39" s="2" t="s">
        <v>108</v>
      </c>
      <c r="C39" s="2" t="s">
        <v>109</v>
      </c>
      <c r="D39" s="2" t="s">
        <v>120</v>
      </c>
      <c r="E39" s="2" t="s">
        <v>121</v>
      </c>
      <c r="F39" s="2" t="s">
        <v>25</v>
      </c>
      <c r="G39" s="2" t="s">
        <v>26</v>
      </c>
      <c r="H39" s="2" t="s">
        <v>27</v>
      </c>
    </row>
    <row r="40" ht="14.25" customHeight="1">
      <c r="A40" s="2" t="s">
        <v>20</v>
      </c>
      <c r="B40" s="2" t="s">
        <v>108</v>
      </c>
      <c r="C40" s="2" t="s">
        <v>109</v>
      </c>
      <c r="D40" s="2" t="s">
        <v>122</v>
      </c>
      <c r="E40" s="2" t="s">
        <v>123</v>
      </c>
      <c r="F40" s="2" t="s">
        <v>25</v>
      </c>
      <c r="G40" s="2" t="s">
        <v>26</v>
      </c>
      <c r="H40" s="2" t="s">
        <v>27</v>
      </c>
    </row>
    <row r="41" ht="14.25" customHeight="1">
      <c r="A41" s="2" t="s">
        <v>20</v>
      </c>
      <c r="B41" s="2" t="s">
        <v>108</v>
      </c>
      <c r="C41" s="2" t="s">
        <v>109</v>
      </c>
      <c r="D41" s="2" t="s">
        <v>124</v>
      </c>
      <c r="E41" s="2" t="s">
        <v>125</v>
      </c>
      <c r="F41" s="2" t="s">
        <v>25</v>
      </c>
      <c r="G41" s="2" t="s">
        <v>26</v>
      </c>
      <c r="H41" s="2" t="s">
        <v>27</v>
      </c>
    </row>
    <row r="42" ht="14.25" customHeight="1">
      <c r="A42" s="2" t="s">
        <v>20</v>
      </c>
      <c r="B42" s="2" t="s">
        <v>108</v>
      </c>
      <c r="C42" s="2" t="s">
        <v>126</v>
      </c>
      <c r="D42" s="2" t="s">
        <v>127</v>
      </c>
      <c r="E42" s="2" t="s">
        <v>128</v>
      </c>
      <c r="F42" s="2" t="s">
        <v>25</v>
      </c>
      <c r="G42" s="2" t="s">
        <v>26</v>
      </c>
      <c r="H42" s="2" t="s">
        <v>27</v>
      </c>
    </row>
    <row r="43" ht="14.25" customHeight="1">
      <c r="A43" s="2" t="s">
        <v>20</v>
      </c>
      <c r="B43" s="2" t="s">
        <v>108</v>
      </c>
      <c r="C43" s="2" t="s">
        <v>126</v>
      </c>
      <c r="D43" s="2" t="s">
        <v>129</v>
      </c>
      <c r="E43" s="2" t="s">
        <v>130</v>
      </c>
      <c r="F43" s="2" t="s">
        <v>25</v>
      </c>
      <c r="G43" s="2" t="s">
        <v>26</v>
      </c>
      <c r="H43" s="2" t="s">
        <v>27</v>
      </c>
    </row>
    <row r="44" ht="14.25" customHeight="1">
      <c r="A44" s="2" t="s">
        <v>20</v>
      </c>
      <c r="B44" s="2" t="s">
        <v>108</v>
      </c>
      <c r="C44" s="2" t="s">
        <v>126</v>
      </c>
      <c r="D44" s="2" t="s">
        <v>131</v>
      </c>
      <c r="E44" s="2" t="s">
        <v>132</v>
      </c>
      <c r="F44" s="2" t="s">
        <v>25</v>
      </c>
      <c r="G44" s="2" t="s">
        <v>26</v>
      </c>
      <c r="H44" s="2" t="s">
        <v>27</v>
      </c>
    </row>
    <row r="45" ht="14.25" customHeight="1">
      <c r="A45" s="2" t="s">
        <v>20</v>
      </c>
      <c r="B45" s="2" t="s">
        <v>108</v>
      </c>
      <c r="C45" s="2" t="s">
        <v>126</v>
      </c>
      <c r="D45" s="2" t="s">
        <v>133</v>
      </c>
      <c r="E45" s="2" t="s">
        <v>134</v>
      </c>
      <c r="F45" s="2" t="s">
        <v>25</v>
      </c>
      <c r="G45" s="2" t="s">
        <v>26</v>
      </c>
      <c r="H45" s="2" t="s">
        <v>27</v>
      </c>
    </row>
    <row r="46" ht="14.25" customHeight="1">
      <c r="A46" s="2" t="s">
        <v>20</v>
      </c>
      <c r="B46" s="2" t="s">
        <v>108</v>
      </c>
      <c r="C46" s="2" t="s">
        <v>126</v>
      </c>
      <c r="D46" s="2" t="s">
        <v>135</v>
      </c>
      <c r="E46" s="2" t="s">
        <v>136</v>
      </c>
      <c r="F46" s="2" t="s">
        <v>25</v>
      </c>
      <c r="G46" s="2" t="s">
        <v>26</v>
      </c>
      <c r="H46" s="2" t="s">
        <v>27</v>
      </c>
    </row>
    <row r="47" ht="14.25" customHeight="1">
      <c r="A47" s="2" t="s">
        <v>20</v>
      </c>
      <c r="B47" s="2" t="s">
        <v>108</v>
      </c>
      <c r="C47" s="2" t="s">
        <v>126</v>
      </c>
      <c r="D47" s="2" t="s">
        <v>137</v>
      </c>
      <c r="E47" s="2" t="s">
        <v>138</v>
      </c>
      <c r="F47" s="2" t="s">
        <v>25</v>
      </c>
      <c r="G47" s="2" t="s">
        <v>26</v>
      </c>
      <c r="H47" s="2" t="s">
        <v>27</v>
      </c>
    </row>
    <row r="48" ht="14.25" customHeight="1">
      <c r="A48" s="2" t="s">
        <v>20</v>
      </c>
      <c r="B48" s="2" t="s">
        <v>108</v>
      </c>
      <c r="C48" s="2" t="s">
        <v>126</v>
      </c>
      <c r="D48" s="2" t="s">
        <v>139</v>
      </c>
      <c r="E48" s="2" t="s">
        <v>140</v>
      </c>
      <c r="F48" s="2" t="s">
        <v>25</v>
      </c>
      <c r="G48" s="2" t="s">
        <v>26</v>
      </c>
      <c r="H48" s="2" t="s">
        <v>27</v>
      </c>
    </row>
    <row r="49" ht="14.25" customHeight="1">
      <c r="A49" s="2" t="s">
        <v>20</v>
      </c>
      <c r="B49" s="2" t="s">
        <v>108</v>
      </c>
      <c r="C49" s="2" t="s">
        <v>126</v>
      </c>
      <c r="D49" s="2" t="s">
        <v>141</v>
      </c>
      <c r="E49" s="2" t="s">
        <v>142</v>
      </c>
      <c r="F49" s="2" t="s">
        <v>25</v>
      </c>
      <c r="G49" s="2" t="s">
        <v>26</v>
      </c>
      <c r="H49" s="2" t="s">
        <v>27</v>
      </c>
    </row>
    <row r="50" ht="14.25" customHeight="1">
      <c r="A50" s="2" t="s">
        <v>20</v>
      </c>
      <c r="B50" s="2" t="s">
        <v>108</v>
      </c>
      <c r="C50" s="2" t="s">
        <v>143</v>
      </c>
      <c r="D50" s="2" t="s">
        <v>144</v>
      </c>
      <c r="E50" s="2" t="s">
        <v>145</v>
      </c>
      <c r="F50" s="2" t="s">
        <v>25</v>
      </c>
      <c r="G50" s="2" t="s">
        <v>26</v>
      </c>
      <c r="H50" s="2" t="s">
        <v>27</v>
      </c>
    </row>
    <row r="51" ht="14.25" customHeight="1">
      <c r="A51" s="2" t="s">
        <v>20</v>
      </c>
      <c r="B51" s="2" t="s">
        <v>108</v>
      </c>
      <c r="C51" s="2" t="s">
        <v>143</v>
      </c>
      <c r="D51" s="2" t="s">
        <v>146</v>
      </c>
      <c r="E51" s="2" t="s">
        <v>147</v>
      </c>
      <c r="F51" s="2" t="s">
        <v>25</v>
      </c>
      <c r="G51" s="2" t="s">
        <v>26</v>
      </c>
      <c r="H51" s="2" t="s">
        <v>27</v>
      </c>
    </row>
    <row r="52" ht="14.25" customHeight="1">
      <c r="A52" s="2" t="s">
        <v>20</v>
      </c>
      <c r="B52" s="2" t="s">
        <v>108</v>
      </c>
      <c r="C52" s="2" t="s">
        <v>143</v>
      </c>
      <c r="D52" s="2" t="s">
        <v>148</v>
      </c>
      <c r="E52" s="2" t="s">
        <v>149</v>
      </c>
      <c r="F52" s="2" t="s">
        <v>25</v>
      </c>
      <c r="G52" s="2" t="s">
        <v>26</v>
      </c>
      <c r="H52" s="2" t="s">
        <v>27</v>
      </c>
    </row>
    <row r="53" ht="14.25" customHeight="1">
      <c r="A53" s="2" t="s">
        <v>20</v>
      </c>
      <c r="B53" s="2" t="s">
        <v>108</v>
      </c>
      <c r="C53" s="2" t="s">
        <v>143</v>
      </c>
      <c r="D53" s="2" t="s">
        <v>150</v>
      </c>
      <c r="E53" s="2" t="s">
        <v>151</v>
      </c>
      <c r="F53" s="2" t="s">
        <v>25</v>
      </c>
      <c r="G53" s="2" t="s">
        <v>26</v>
      </c>
      <c r="H53" s="2" t="s">
        <v>27</v>
      </c>
    </row>
    <row r="54" ht="14.25" customHeight="1">
      <c r="A54" s="2" t="s">
        <v>20</v>
      </c>
      <c r="B54" s="2" t="s">
        <v>108</v>
      </c>
      <c r="C54" s="2" t="s">
        <v>143</v>
      </c>
      <c r="D54" s="2" t="s">
        <v>152</v>
      </c>
      <c r="E54" s="2" t="s">
        <v>153</v>
      </c>
      <c r="F54" s="2" t="s">
        <v>25</v>
      </c>
      <c r="G54" s="2" t="s">
        <v>26</v>
      </c>
      <c r="H54" s="2" t="s">
        <v>27</v>
      </c>
    </row>
    <row r="55" ht="14.25" customHeight="1">
      <c r="A55" s="2" t="s">
        <v>20</v>
      </c>
      <c r="B55" s="2" t="s">
        <v>108</v>
      </c>
      <c r="C55" s="2" t="s">
        <v>143</v>
      </c>
      <c r="D55" s="2" t="s">
        <v>154</v>
      </c>
      <c r="E55" s="2" t="s">
        <v>155</v>
      </c>
      <c r="F55" s="2" t="s">
        <v>25</v>
      </c>
      <c r="G55" s="2" t="s">
        <v>26</v>
      </c>
      <c r="H55" s="2" t="s">
        <v>27</v>
      </c>
    </row>
    <row r="56" ht="14.25" customHeight="1">
      <c r="A56" s="2" t="s">
        <v>20</v>
      </c>
      <c r="B56" s="2" t="s">
        <v>108</v>
      </c>
      <c r="C56" s="2" t="s">
        <v>143</v>
      </c>
      <c r="D56" s="2" t="s">
        <v>156</v>
      </c>
      <c r="E56" s="2" t="s">
        <v>157</v>
      </c>
      <c r="F56" s="2" t="s">
        <v>25</v>
      </c>
      <c r="G56" s="2" t="s">
        <v>26</v>
      </c>
      <c r="H56" s="2" t="s">
        <v>27</v>
      </c>
    </row>
    <row r="57" ht="14.25" customHeight="1">
      <c r="A57" s="2" t="s">
        <v>20</v>
      </c>
      <c r="B57" s="2" t="s">
        <v>108</v>
      </c>
      <c r="C57" s="2" t="s">
        <v>143</v>
      </c>
      <c r="D57" s="2" t="s">
        <v>158</v>
      </c>
      <c r="E57" s="2" t="s">
        <v>159</v>
      </c>
      <c r="F57" s="2" t="s">
        <v>25</v>
      </c>
      <c r="G57" s="2" t="s">
        <v>26</v>
      </c>
      <c r="H57" s="2" t="s">
        <v>27</v>
      </c>
    </row>
    <row r="58" ht="14.25" customHeight="1">
      <c r="A58" s="2" t="s">
        <v>20</v>
      </c>
      <c r="B58" s="2" t="s">
        <v>108</v>
      </c>
      <c r="C58" s="2" t="s">
        <v>160</v>
      </c>
      <c r="D58" s="2" t="s">
        <v>161</v>
      </c>
      <c r="E58" s="2" t="s">
        <v>162</v>
      </c>
      <c r="F58" s="2" t="s">
        <v>25</v>
      </c>
      <c r="G58" s="2" t="s">
        <v>26</v>
      </c>
      <c r="H58" s="2" t="s">
        <v>27</v>
      </c>
    </row>
    <row r="59" ht="14.25" customHeight="1">
      <c r="A59" s="2" t="s">
        <v>20</v>
      </c>
      <c r="B59" s="2" t="s">
        <v>108</v>
      </c>
      <c r="C59" s="2" t="s">
        <v>160</v>
      </c>
      <c r="D59" s="2" t="s">
        <v>163</v>
      </c>
      <c r="E59" s="2" t="s">
        <v>164</v>
      </c>
      <c r="F59" s="2" t="s">
        <v>25</v>
      </c>
      <c r="G59" s="2" t="s">
        <v>26</v>
      </c>
      <c r="H59" s="2" t="s">
        <v>27</v>
      </c>
    </row>
    <row r="60" ht="14.25" customHeight="1">
      <c r="A60" s="2" t="s">
        <v>20</v>
      </c>
      <c r="B60" s="2" t="s">
        <v>108</v>
      </c>
      <c r="C60" s="2" t="s">
        <v>160</v>
      </c>
      <c r="D60" s="2" t="s">
        <v>165</v>
      </c>
      <c r="E60" s="2" t="s">
        <v>166</v>
      </c>
      <c r="F60" s="2" t="s">
        <v>25</v>
      </c>
      <c r="G60" s="2" t="s">
        <v>26</v>
      </c>
      <c r="H60" s="2" t="s">
        <v>27</v>
      </c>
    </row>
    <row r="61" ht="14.25" customHeight="1">
      <c r="A61" s="2" t="s">
        <v>20</v>
      </c>
      <c r="B61" s="2" t="s">
        <v>108</v>
      </c>
      <c r="C61" s="2" t="s">
        <v>160</v>
      </c>
      <c r="D61" s="2" t="s">
        <v>167</v>
      </c>
      <c r="E61" s="2" t="s">
        <v>168</v>
      </c>
      <c r="F61" s="2" t="s">
        <v>25</v>
      </c>
      <c r="G61" s="2" t="s">
        <v>26</v>
      </c>
      <c r="H61" s="2" t="s">
        <v>27</v>
      </c>
    </row>
    <row r="62" ht="14.25" customHeight="1">
      <c r="A62" s="2" t="s">
        <v>20</v>
      </c>
      <c r="B62" s="2" t="s">
        <v>108</v>
      </c>
      <c r="C62" s="2" t="s">
        <v>160</v>
      </c>
      <c r="D62" s="2" t="s">
        <v>169</v>
      </c>
      <c r="E62" s="2" t="s">
        <v>170</v>
      </c>
      <c r="F62" s="2" t="s">
        <v>25</v>
      </c>
      <c r="G62" s="2" t="s">
        <v>26</v>
      </c>
      <c r="H62" s="2" t="s">
        <v>27</v>
      </c>
    </row>
    <row r="63" ht="14.25" customHeight="1">
      <c r="A63" s="2" t="s">
        <v>20</v>
      </c>
      <c r="B63" s="2" t="s">
        <v>108</v>
      </c>
      <c r="C63" s="2" t="s">
        <v>160</v>
      </c>
      <c r="D63" s="2" t="s">
        <v>171</v>
      </c>
      <c r="E63" s="2" t="s">
        <v>172</v>
      </c>
      <c r="F63" s="2" t="s">
        <v>25</v>
      </c>
      <c r="G63" s="2" t="s">
        <v>26</v>
      </c>
      <c r="H63" s="2" t="s">
        <v>27</v>
      </c>
    </row>
    <row r="64" ht="14.25" customHeight="1">
      <c r="A64" s="2" t="s">
        <v>20</v>
      </c>
      <c r="B64" s="2" t="s">
        <v>108</v>
      </c>
      <c r="C64" s="2" t="s">
        <v>160</v>
      </c>
      <c r="D64" s="2" t="s">
        <v>173</v>
      </c>
      <c r="E64" s="2" t="s">
        <v>174</v>
      </c>
      <c r="F64" s="2" t="s">
        <v>25</v>
      </c>
      <c r="G64" s="2" t="s">
        <v>26</v>
      </c>
      <c r="H64" s="2" t="s">
        <v>27</v>
      </c>
    </row>
    <row r="65" ht="14.25" customHeight="1">
      <c r="A65" s="2" t="s">
        <v>20</v>
      </c>
      <c r="B65" s="2" t="s">
        <v>108</v>
      </c>
      <c r="C65" s="2" t="s">
        <v>160</v>
      </c>
      <c r="D65" s="2" t="s">
        <v>175</v>
      </c>
      <c r="E65" s="2" t="s">
        <v>176</v>
      </c>
      <c r="F65" s="2" t="s">
        <v>25</v>
      </c>
      <c r="G65" s="2" t="s">
        <v>26</v>
      </c>
      <c r="H65" s="2" t="s">
        <v>27</v>
      </c>
    </row>
    <row r="66" ht="14.25" customHeight="1">
      <c r="A66" s="2" t="s">
        <v>20</v>
      </c>
      <c r="B66" s="2" t="s">
        <v>177</v>
      </c>
      <c r="C66" s="2" t="s">
        <v>178</v>
      </c>
      <c r="D66" s="2" t="s">
        <v>179</v>
      </c>
      <c r="E66" s="2" t="s">
        <v>180</v>
      </c>
      <c r="F66" s="2" t="s">
        <v>25</v>
      </c>
      <c r="G66" s="2" t="s">
        <v>26</v>
      </c>
      <c r="H66" s="2" t="s">
        <v>27</v>
      </c>
    </row>
    <row r="67" ht="14.25" customHeight="1">
      <c r="A67" s="2" t="s">
        <v>20</v>
      </c>
      <c r="B67" s="2" t="s">
        <v>177</v>
      </c>
      <c r="C67" s="2" t="s">
        <v>178</v>
      </c>
      <c r="D67" s="2" t="s">
        <v>181</v>
      </c>
      <c r="E67" s="2" t="s">
        <v>182</v>
      </c>
      <c r="F67" s="2" t="s">
        <v>25</v>
      </c>
      <c r="G67" s="2" t="s">
        <v>26</v>
      </c>
      <c r="H67" s="2" t="s">
        <v>27</v>
      </c>
    </row>
    <row r="68" ht="14.25" customHeight="1">
      <c r="A68" s="2" t="s">
        <v>20</v>
      </c>
      <c r="B68" s="2" t="s">
        <v>177</v>
      </c>
      <c r="C68" s="2" t="s">
        <v>178</v>
      </c>
      <c r="D68" s="2" t="s">
        <v>183</v>
      </c>
      <c r="E68" s="2" t="s">
        <v>184</v>
      </c>
      <c r="F68" s="2" t="s">
        <v>25</v>
      </c>
      <c r="G68" s="2" t="s">
        <v>26</v>
      </c>
      <c r="H68" s="2" t="s">
        <v>27</v>
      </c>
    </row>
    <row r="69" ht="14.25" customHeight="1">
      <c r="A69" s="2" t="s">
        <v>20</v>
      </c>
      <c r="B69" s="2" t="s">
        <v>177</v>
      </c>
      <c r="C69" s="2" t="s">
        <v>178</v>
      </c>
      <c r="D69" s="2" t="s">
        <v>185</v>
      </c>
      <c r="E69" s="2" t="s">
        <v>186</v>
      </c>
      <c r="F69" s="2" t="s">
        <v>25</v>
      </c>
      <c r="G69" s="2" t="s">
        <v>26</v>
      </c>
      <c r="H69" s="2" t="s">
        <v>27</v>
      </c>
    </row>
    <row r="70" ht="14.25" customHeight="1">
      <c r="A70" s="2" t="s">
        <v>20</v>
      </c>
      <c r="B70" s="2" t="s">
        <v>177</v>
      </c>
      <c r="C70" s="2" t="s">
        <v>178</v>
      </c>
      <c r="D70" s="2" t="s">
        <v>187</v>
      </c>
      <c r="E70" s="2" t="s">
        <v>188</v>
      </c>
      <c r="F70" s="2" t="s">
        <v>25</v>
      </c>
      <c r="G70" s="2" t="s">
        <v>26</v>
      </c>
      <c r="H70" s="2" t="s">
        <v>27</v>
      </c>
    </row>
    <row r="71" ht="14.25" customHeight="1">
      <c r="A71" s="2" t="s">
        <v>20</v>
      </c>
      <c r="B71" s="2" t="s">
        <v>177</v>
      </c>
      <c r="C71" s="2" t="s">
        <v>178</v>
      </c>
      <c r="D71" s="2" t="s">
        <v>189</v>
      </c>
      <c r="E71" s="2" t="s">
        <v>190</v>
      </c>
      <c r="F71" s="2" t="s">
        <v>25</v>
      </c>
      <c r="G71" s="2" t="s">
        <v>26</v>
      </c>
      <c r="H71" s="2" t="s">
        <v>27</v>
      </c>
    </row>
    <row r="72" ht="14.25" customHeight="1">
      <c r="A72" s="2" t="s">
        <v>20</v>
      </c>
      <c r="B72" s="2" t="s">
        <v>177</v>
      </c>
      <c r="C72" s="2" t="s">
        <v>178</v>
      </c>
      <c r="D72" s="2" t="s">
        <v>191</v>
      </c>
      <c r="E72" s="2" t="s">
        <v>192</v>
      </c>
      <c r="F72" s="2" t="s">
        <v>25</v>
      </c>
      <c r="G72" s="2" t="s">
        <v>26</v>
      </c>
      <c r="H72" s="2" t="s">
        <v>27</v>
      </c>
    </row>
    <row r="73" ht="14.25" customHeight="1">
      <c r="A73" s="2" t="s">
        <v>20</v>
      </c>
      <c r="B73" s="2" t="s">
        <v>177</v>
      </c>
      <c r="C73" s="2" t="s">
        <v>178</v>
      </c>
      <c r="D73" s="2" t="s">
        <v>193</v>
      </c>
      <c r="E73" s="2" t="s">
        <v>194</v>
      </c>
      <c r="F73" s="2" t="s">
        <v>25</v>
      </c>
      <c r="G73" s="2" t="s">
        <v>26</v>
      </c>
      <c r="H73" s="2" t="s">
        <v>27</v>
      </c>
    </row>
    <row r="74" ht="14.25" customHeight="1">
      <c r="A74" s="2" t="s">
        <v>20</v>
      </c>
      <c r="B74" s="2" t="s">
        <v>177</v>
      </c>
      <c r="C74" s="2" t="s">
        <v>195</v>
      </c>
      <c r="D74" s="2" t="s">
        <v>196</v>
      </c>
      <c r="E74" s="2" t="s">
        <v>197</v>
      </c>
      <c r="F74" s="2" t="s">
        <v>25</v>
      </c>
      <c r="G74" s="2" t="s">
        <v>26</v>
      </c>
      <c r="H74" s="2" t="s">
        <v>27</v>
      </c>
    </row>
    <row r="75" ht="14.25" customHeight="1">
      <c r="A75" s="2" t="s">
        <v>20</v>
      </c>
      <c r="B75" s="2" t="s">
        <v>177</v>
      </c>
      <c r="C75" s="2" t="s">
        <v>195</v>
      </c>
      <c r="D75" s="2" t="s">
        <v>198</v>
      </c>
      <c r="E75" s="2" t="s">
        <v>199</v>
      </c>
      <c r="F75" s="2" t="s">
        <v>25</v>
      </c>
      <c r="G75" s="2" t="s">
        <v>26</v>
      </c>
      <c r="H75" s="2" t="s">
        <v>27</v>
      </c>
    </row>
    <row r="76" ht="14.25" customHeight="1">
      <c r="A76" s="2" t="s">
        <v>20</v>
      </c>
      <c r="B76" s="2" t="s">
        <v>177</v>
      </c>
      <c r="C76" s="2" t="s">
        <v>195</v>
      </c>
      <c r="D76" s="2" t="s">
        <v>200</v>
      </c>
      <c r="E76" s="2" t="s">
        <v>201</v>
      </c>
      <c r="F76" s="2" t="s">
        <v>25</v>
      </c>
      <c r="G76" s="2" t="s">
        <v>26</v>
      </c>
      <c r="H76" s="2" t="s">
        <v>27</v>
      </c>
    </row>
    <row r="77" ht="14.25" customHeight="1">
      <c r="A77" s="2" t="s">
        <v>20</v>
      </c>
      <c r="B77" s="2" t="s">
        <v>177</v>
      </c>
      <c r="C77" s="2" t="s">
        <v>195</v>
      </c>
      <c r="D77" s="2" t="s">
        <v>202</v>
      </c>
      <c r="E77" s="2" t="s">
        <v>203</v>
      </c>
      <c r="F77" s="2" t="s">
        <v>25</v>
      </c>
      <c r="G77" s="2" t="s">
        <v>26</v>
      </c>
      <c r="H77" s="2" t="s">
        <v>27</v>
      </c>
    </row>
    <row r="78" ht="14.25" customHeight="1">
      <c r="A78" s="2" t="s">
        <v>20</v>
      </c>
      <c r="B78" s="2" t="s">
        <v>177</v>
      </c>
      <c r="C78" s="2" t="s">
        <v>195</v>
      </c>
      <c r="D78" s="2" t="s">
        <v>204</v>
      </c>
      <c r="E78" s="2" t="s">
        <v>205</v>
      </c>
      <c r="F78" s="2" t="s">
        <v>25</v>
      </c>
      <c r="G78" s="2" t="s">
        <v>26</v>
      </c>
      <c r="H78" s="2" t="s">
        <v>27</v>
      </c>
    </row>
    <row r="79" ht="14.25" customHeight="1">
      <c r="A79" s="2" t="s">
        <v>20</v>
      </c>
      <c r="B79" s="2" t="s">
        <v>177</v>
      </c>
      <c r="C79" s="2" t="s">
        <v>195</v>
      </c>
      <c r="D79" s="2" t="s">
        <v>206</v>
      </c>
      <c r="E79" s="2" t="s">
        <v>207</v>
      </c>
      <c r="F79" s="2" t="s">
        <v>25</v>
      </c>
      <c r="G79" s="2" t="s">
        <v>26</v>
      </c>
      <c r="H79" s="2" t="s">
        <v>27</v>
      </c>
    </row>
    <row r="80" ht="14.25" customHeight="1">
      <c r="A80" s="2" t="s">
        <v>20</v>
      </c>
      <c r="B80" s="2" t="s">
        <v>177</v>
      </c>
      <c r="C80" s="2" t="s">
        <v>195</v>
      </c>
      <c r="D80" s="2" t="s">
        <v>208</v>
      </c>
      <c r="E80" s="2" t="s">
        <v>209</v>
      </c>
      <c r="F80" s="2" t="s">
        <v>25</v>
      </c>
      <c r="G80" s="2" t="s">
        <v>26</v>
      </c>
      <c r="H80" s="2" t="s">
        <v>27</v>
      </c>
    </row>
    <row r="81" ht="14.25" customHeight="1">
      <c r="A81" s="2" t="s">
        <v>20</v>
      </c>
      <c r="B81" s="2" t="s">
        <v>177</v>
      </c>
      <c r="C81" s="2" t="s">
        <v>195</v>
      </c>
      <c r="D81" s="2" t="s">
        <v>210</v>
      </c>
      <c r="E81" s="2" t="s">
        <v>211</v>
      </c>
      <c r="F81" s="2" t="s">
        <v>25</v>
      </c>
      <c r="G81" s="2" t="s">
        <v>26</v>
      </c>
      <c r="H81" s="2" t="s">
        <v>27</v>
      </c>
    </row>
    <row r="82" ht="14.25" customHeight="1">
      <c r="A82" s="2" t="s">
        <v>20</v>
      </c>
      <c r="B82" s="2" t="s">
        <v>177</v>
      </c>
      <c r="C82" s="2" t="s">
        <v>212</v>
      </c>
      <c r="D82" s="2" t="s">
        <v>213</v>
      </c>
      <c r="E82" s="2" t="s">
        <v>214</v>
      </c>
      <c r="F82" s="2" t="s">
        <v>25</v>
      </c>
      <c r="G82" s="2" t="s">
        <v>26</v>
      </c>
      <c r="H82" s="2" t="s">
        <v>27</v>
      </c>
    </row>
    <row r="83" ht="14.25" customHeight="1">
      <c r="A83" s="2" t="s">
        <v>20</v>
      </c>
      <c r="B83" s="2" t="s">
        <v>177</v>
      </c>
      <c r="C83" s="2" t="s">
        <v>212</v>
      </c>
      <c r="D83" s="2" t="s">
        <v>215</v>
      </c>
      <c r="E83" s="2" t="s">
        <v>216</v>
      </c>
      <c r="F83" s="2" t="s">
        <v>25</v>
      </c>
      <c r="G83" s="2" t="s">
        <v>26</v>
      </c>
      <c r="H83" s="2" t="s">
        <v>27</v>
      </c>
    </row>
    <row r="84" ht="14.25" customHeight="1">
      <c r="A84" s="2" t="s">
        <v>20</v>
      </c>
      <c r="B84" s="2" t="s">
        <v>177</v>
      </c>
      <c r="C84" s="2" t="s">
        <v>212</v>
      </c>
      <c r="D84" s="2" t="s">
        <v>217</v>
      </c>
      <c r="E84" s="2" t="s">
        <v>218</v>
      </c>
      <c r="F84" s="2" t="s">
        <v>25</v>
      </c>
      <c r="G84" s="2" t="s">
        <v>26</v>
      </c>
      <c r="H84" s="2" t="s">
        <v>27</v>
      </c>
    </row>
    <row r="85" ht="14.25" customHeight="1">
      <c r="A85" s="2" t="s">
        <v>20</v>
      </c>
      <c r="B85" s="2" t="s">
        <v>177</v>
      </c>
      <c r="C85" s="2" t="s">
        <v>212</v>
      </c>
      <c r="D85" s="2" t="s">
        <v>219</v>
      </c>
      <c r="E85" s="2" t="s">
        <v>220</v>
      </c>
      <c r="F85" s="2" t="s">
        <v>25</v>
      </c>
      <c r="G85" s="2" t="s">
        <v>26</v>
      </c>
      <c r="H85" s="2" t="s">
        <v>27</v>
      </c>
    </row>
    <row r="86" ht="14.25" customHeight="1">
      <c r="A86" s="2" t="s">
        <v>20</v>
      </c>
      <c r="B86" s="2" t="s">
        <v>177</v>
      </c>
      <c r="C86" s="2" t="s">
        <v>212</v>
      </c>
      <c r="D86" s="2" t="s">
        <v>221</v>
      </c>
      <c r="E86" s="2" t="s">
        <v>222</v>
      </c>
      <c r="F86" s="2" t="s">
        <v>25</v>
      </c>
      <c r="G86" s="2" t="s">
        <v>26</v>
      </c>
      <c r="H86" s="2" t="s">
        <v>27</v>
      </c>
    </row>
    <row r="87" ht="14.25" customHeight="1">
      <c r="A87" s="2" t="s">
        <v>20</v>
      </c>
      <c r="B87" s="2" t="s">
        <v>177</v>
      </c>
      <c r="C87" s="2" t="s">
        <v>212</v>
      </c>
      <c r="D87" s="2" t="s">
        <v>223</v>
      </c>
      <c r="E87" s="2" t="s">
        <v>224</v>
      </c>
      <c r="F87" s="2" t="s">
        <v>25</v>
      </c>
      <c r="G87" s="2" t="s">
        <v>26</v>
      </c>
      <c r="H87" s="2" t="s">
        <v>27</v>
      </c>
    </row>
    <row r="88" ht="14.25" customHeight="1">
      <c r="A88" s="2" t="s">
        <v>20</v>
      </c>
      <c r="B88" s="2" t="s">
        <v>177</v>
      </c>
      <c r="C88" s="2" t="s">
        <v>212</v>
      </c>
      <c r="D88" s="2" t="s">
        <v>225</v>
      </c>
      <c r="E88" s="2" t="s">
        <v>226</v>
      </c>
      <c r="F88" s="2" t="s">
        <v>25</v>
      </c>
      <c r="G88" s="2" t="s">
        <v>26</v>
      </c>
      <c r="H88" s="2" t="s">
        <v>27</v>
      </c>
    </row>
    <row r="89" ht="14.25" customHeight="1">
      <c r="A89" s="2" t="s">
        <v>20</v>
      </c>
      <c r="B89" s="2" t="s">
        <v>177</v>
      </c>
      <c r="C89" s="2" t="s">
        <v>212</v>
      </c>
      <c r="D89" s="2" t="s">
        <v>227</v>
      </c>
      <c r="E89" s="2" t="s">
        <v>228</v>
      </c>
      <c r="F89" s="2" t="s">
        <v>25</v>
      </c>
      <c r="G89" s="2" t="s">
        <v>26</v>
      </c>
      <c r="H89" s="2" t="s">
        <v>27</v>
      </c>
    </row>
    <row r="90" ht="14.25" customHeight="1">
      <c r="A90" s="2" t="s">
        <v>20</v>
      </c>
      <c r="B90" s="2" t="s">
        <v>177</v>
      </c>
      <c r="C90" s="2" t="s">
        <v>229</v>
      </c>
      <c r="D90" s="2" t="s">
        <v>230</v>
      </c>
      <c r="E90" s="2" t="s">
        <v>231</v>
      </c>
      <c r="F90" s="2" t="s">
        <v>25</v>
      </c>
      <c r="G90" s="2" t="s">
        <v>26</v>
      </c>
      <c r="H90" s="2" t="s">
        <v>27</v>
      </c>
    </row>
    <row r="91" ht="14.25" customHeight="1">
      <c r="A91" s="2" t="s">
        <v>20</v>
      </c>
      <c r="B91" s="2" t="s">
        <v>177</v>
      </c>
      <c r="C91" s="2" t="s">
        <v>229</v>
      </c>
      <c r="D91" s="2" t="s">
        <v>232</v>
      </c>
      <c r="E91" s="2" t="s">
        <v>233</v>
      </c>
      <c r="F91" s="2" t="s">
        <v>25</v>
      </c>
      <c r="G91" s="2" t="s">
        <v>26</v>
      </c>
      <c r="H91" s="2" t="s">
        <v>27</v>
      </c>
    </row>
    <row r="92" ht="14.25" customHeight="1">
      <c r="A92" s="2" t="s">
        <v>20</v>
      </c>
      <c r="B92" s="2" t="s">
        <v>177</v>
      </c>
      <c r="C92" s="2" t="s">
        <v>229</v>
      </c>
      <c r="D92" s="2" t="s">
        <v>234</v>
      </c>
      <c r="E92" s="2" t="s">
        <v>235</v>
      </c>
      <c r="F92" s="2" t="s">
        <v>25</v>
      </c>
      <c r="G92" s="2" t="s">
        <v>26</v>
      </c>
      <c r="H92" s="2" t="s">
        <v>27</v>
      </c>
    </row>
    <row r="93" ht="14.25" customHeight="1">
      <c r="A93" s="2" t="s">
        <v>20</v>
      </c>
      <c r="B93" s="2" t="s">
        <v>177</v>
      </c>
      <c r="C93" s="2" t="s">
        <v>229</v>
      </c>
      <c r="D93" s="2" t="s">
        <v>236</v>
      </c>
      <c r="E93" s="2" t="s">
        <v>237</v>
      </c>
      <c r="F93" s="2" t="s">
        <v>25</v>
      </c>
      <c r="G93" s="2" t="s">
        <v>26</v>
      </c>
      <c r="H93" s="2" t="s">
        <v>27</v>
      </c>
    </row>
    <row r="94" ht="14.25" customHeight="1">
      <c r="A94" s="2" t="s">
        <v>20</v>
      </c>
      <c r="B94" s="2" t="s">
        <v>177</v>
      </c>
      <c r="C94" s="2" t="s">
        <v>229</v>
      </c>
      <c r="D94" s="2" t="s">
        <v>238</v>
      </c>
      <c r="E94" s="2" t="s">
        <v>239</v>
      </c>
      <c r="F94" s="2" t="s">
        <v>25</v>
      </c>
      <c r="G94" s="2" t="s">
        <v>26</v>
      </c>
      <c r="H94" s="2" t="s">
        <v>27</v>
      </c>
    </row>
    <row r="95" ht="14.25" customHeight="1">
      <c r="A95" s="2" t="s">
        <v>20</v>
      </c>
      <c r="B95" s="2" t="s">
        <v>177</v>
      </c>
      <c r="C95" s="2" t="s">
        <v>229</v>
      </c>
      <c r="D95" s="2" t="s">
        <v>240</v>
      </c>
      <c r="E95" s="2" t="s">
        <v>241</v>
      </c>
      <c r="F95" s="2" t="s">
        <v>25</v>
      </c>
      <c r="G95" s="2" t="s">
        <v>26</v>
      </c>
      <c r="H95" s="2" t="s">
        <v>27</v>
      </c>
    </row>
    <row r="96" ht="14.25" customHeight="1">
      <c r="A96" s="2" t="s">
        <v>20</v>
      </c>
      <c r="B96" s="2" t="s">
        <v>177</v>
      </c>
      <c r="C96" s="2" t="s">
        <v>229</v>
      </c>
      <c r="D96" s="2" t="s">
        <v>242</v>
      </c>
      <c r="E96" s="2" t="s">
        <v>243</v>
      </c>
      <c r="F96" s="2" t="s">
        <v>25</v>
      </c>
      <c r="G96" s="2" t="s">
        <v>26</v>
      </c>
      <c r="H96" s="2" t="s">
        <v>27</v>
      </c>
    </row>
    <row r="97" ht="14.25" customHeight="1">
      <c r="A97" s="2" t="s">
        <v>20</v>
      </c>
      <c r="B97" s="2" t="s">
        <v>177</v>
      </c>
      <c r="C97" s="2" t="s">
        <v>229</v>
      </c>
      <c r="D97" s="2" t="s">
        <v>244</v>
      </c>
      <c r="E97" s="2" t="s">
        <v>245</v>
      </c>
      <c r="F97" s="2" t="s">
        <v>25</v>
      </c>
      <c r="G97" s="2" t="s">
        <v>26</v>
      </c>
      <c r="H97" s="2" t="s">
        <v>27</v>
      </c>
    </row>
    <row r="98" ht="14.25" customHeight="1">
      <c r="A98" s="2" t="s">
        <v>20</v>
      </c>
      <c r="B98" s="2" t="s">
        <v>246</v>
      </c>
      <c r="C98" s="2" t="s">
        <v>247</v>
      </c>
      <c r="D98" s="2" t="s">
        <v>248</v>
      </c>
      <c r="E98" s="2" t="s">
        <v>249</v>
      </c>
      <c r="F98" s="2" t="s">
        <v>25</v>
      </c>
      <c r="G98" s="2" t="s">
        <v>26</v>
      </c>
      <c r="H98" s="2" t="s">
        <v>27</v>
      </c>
    </row>
    <row r="99" ht="14.25" customHeight="1">
      <c r="A99" s="2" t="s">
        <v>20</v>
      </c>
      <c r="B99" s="2" t="s">
        <v>246</v>
      </c>
      <c r="C99" s="2" t="s">
        <v>247</v>
      </c>
      <c r="D99" s="2" t="s">
        <v>250</v>
      </c>
      <c r="E99" s="2" t="s">
        <v>251</v>
      </c>
      <c r="F99" s="2" t="s">
        <v>25</v>
      </c>
      <c r="G99" s="2" t="s">
        <v>26</v>
      </c>
      <c r="H99" s="2" t="s">
        <v>27</v>
      </c>
    </row>
    <row r="100" ht="14.25" customHeight="1">
      <c r="A100" s="2" t="s">
        <v>20</v>
      </c>
      <c r="B100" s="2" t="s">
        <v>246</v>
      </c>
      <c r="C100" s="2" t="s">
        <v>247</v>
      </c>
      <c r="D100" s="2" t="s">
        <v>252</v>
      </c>
      <c r="E100" s="2" t="s">
        <v>253</v>
      </c>
      <c r="F100" s="2" t="s">
        <v>25</v>
      </c>
      <c r="G100" s="2" t="s">
        <v>26</v>
      </c>
      <c r="H100" s="2" t="s">
        <v>27</v>
      </c>
    </row>
    <row r="101" ht="14.25" customHeight="1">
      <c r="A101" s="2" t="s">
        <v>20</v>
      </c>
      <c r="B101" s="2" t="s">
        <v>246</v>
      </c>
      <c r="C101" s="2" t="s">
        <v>247</v>
      </c>
      <c r="D101" s="2" t="s">
        <v>254</v>
      </c>
      <c r="E101" s="2" t="s">
        <v>255</v>
      </c>
      <c r="F101" s="2" t="s">
        <v>25</v>
      </c>
      <c r="G101" s="2" t="s">
        <v>26</v>
      </c>
      <c r="H101" s="2" t="s">
        <v>27</v>
      </c>
    </row>
    <row r="102" ht="14.25" customHeight="1">
      <c r="A102" s="2" t="s">
        <v>20</v>
      </c>
      <c r="B102" s="2" t="s">
        <v>246</v>
      </c>
      <c r="C102" s="2" t="s">
        <v>247</v>
      </c>
      <c r="D102" s="2" t="s">
        <v>256</v>
      </c>
      <c r="E102" s="2" t="s">
        <v>257</v>
      </c>
      <c r="F102" s="2" t="s">
        <v>25</v>
      </c>
      <c r="G102" s="2" t="s">
        <v>26</v>
      </c>
      <c r="H102" s="2" t="s">
        <v>27</v>
      </c>
    </row>
    <row r="103" ht="14.25" customHeight="1">
      <c r="A103" s="2" t="s">
        <v>20</v>
      </c>
      <c r="B103" s="2" t="s">
        <v>246</v>
      </c>
      <c r="C103" s="2" t="s">
        <v>247</v>
      </c>
      <c r="D103" s="2" t="s">
        <v>258</v>
      </c>
      <c r="E103" s="2" t="s">
        <v>259</v>
      </c>
      <c r="F103" s="2" t="s">
        <v>25</v>
      </c>
      <c r="G103" s="2" t="s">
        <v>26</v>
      </c>
      <c r="H103" s="2" t="s">
        <v>27</v>
      </c>
    </row>
    <row r="104" ht="14.25" customHeight="1">
      <c r="A104" s="2" t="s">
        <v>20</v>
      </c>
      <c r="B104" s="2" t="s">
        <v>246</v>
      </c>
      <c r="C104" s="2" t="s">
        <v>247</v>
      </c>
      <c r="D104" s="2" t="s">
        <v>260</v>
      </c>
      <c r="E104" s="2" t="s">
        <v>261</v>
      </c>
      <c r="F104" s="2" t="s">
        <v>25</v>
      </c>
      <c r="G104" s="2" t="s">
        <v>26</v>
      </c>
      <c r="H104" s="2" t="s">
        <v>27</v>
      </c>
    </row>
    <row r="105" ht="14.25" customHeight="1">
      <c r="A105" s="2" t="s">
        <v>20</v>
      </c>
      <c r="B105" s="2" t="s">
        <v>246</v>
      </c>
      <c r="C105" s="2" t="s">
        <v>247</v>
      </c>
      <c r="D105" s="2" t="s">
        <v>262</v>
      </c>
      <c r="E105" s="2" t="s">
        <v>263</v>
      </c>
      <c r="F105" s="2" t="s">
        <v>25</v>
      </c>
      <c r="G105" s="2" t="s">
        <v>26</v>
      </c>
      <c r="H105" s="2" t="s">
        <v>27</v>
      </c>
    </row>
    <row r="106" ht="14.25" customHeight="1">
      <c r="A106" s="2" t="s">
        <v>20</v>
      </c>
      <c r="B106" s="2" t="s">
        <v>246</v>
      </c>
      <c r="C106" s="2" t="s">
        <v>264</v>
      </c>
      <c r="D106" s="2" t="s">
        <v>265</v>
      </c>
      <c r="E106" s="2" t="s">
        <v>266</v>
      </c>
      <c r="F106" s="2" t="s">
        <v>25</v>
      </c>
      <c r="G106" s="2" t="s">
        <v>26</v>
      </c>
      <c r="H106" s="2" t="s">
        <v>27</v>
      </c>
    </row>
    <row r="107" ht="14.25" customHeight="1">
      <c r="A107" s="2" t="s">
        <v>20</v>
      </c>
      <c r="B107" s="2" t="s">
        <v>246</v>
      </c>
      <c r="C107" s="2" t="s">
        <v>264</v>
      </c>
      <c r="D107" s="2" t="s">
        <v>267</v>
      </c>
      <c r="E107" s="2" t="s">
        <v>268</v>
      </c>
      <c r="F107" s="2" t="s">
        <v>25</v>
      </c>
      <c r="G107" s="2" t="s">
        <v>26</v>
      </c>
      <c r="H107" s="2" t="s">
        <v>27</v>
      </c>
    </row>
    <row r="108" ht="14.25" customHeight="1">
      <c r="A108" s="2" t="s">
        <v>20</v>
      </c>
      <c r="B108" s="2" t="s">
        <v>246</v>
      </c>
      <c r="C108" s="2" t="s">
        <v>264</v>
      </c>
      <c r="D108" s="2" t="s">
        <v>269</v>
      </c>
      <c r="E108" s="2" t="s">
        <v>270</v>
      </c>
      <c r="F108" s="2" t="s">
        <v>25</v>
      </c>
      <c r="G108" s="2" t="s">
        <v>26</v>
      </c>
      <c r="H108" s="2" t="s">
        <v>27</v>
      </c>
    </row>
    <row r="109" ht="14.25" customHeight="1">
      <c r="A109" s="2" t="s">
        <v>20</v>
      </c>
      <c r="B109" s="2" t="s">
        <v>246</v>
      </c>
      <c r="C109" s="2" t="s">
        <v>264</v>
      </c>
      <c r="D109" s="2" t="s">
        <v>271</v>
      </c>
      <c r="E109" s="2" t="s">
        <v>272</v>
      </c>
      <c r="F109" s="2" t="s">
        <v>25</v>
      </c>
      <c r="G109" s="2" t="s">
        <v>26</v>
      </c>
      <c r="H109" s="2" t="s">
        <v>27</v>
      </c>
    </row>
    <row r="110" ht="14.25" customHeight="1">
      <c r="A110" s="2" t="s">
        <v>20</v>
      </c>
      <c r="B110" s="2" t="s">
        <v>246</v>
      </c>
      <c r="C110" s="2" t="s">
        <v>264</v>
      </c>
      <c r="D110" s="2" t="s">
        <v>273</v>
      </c>
      <c r="E110" s="2" t="s">
        <v>274</v>
      </c>
      <c r="F110" s="2" t="s">
        <v>25</v>
      </c>
      <c r="G110" s="2" t="s">
        <v>26</v>
      </c>
      <c r="H110" s="2" t="s">
        <v>27</v>
      </c>
    </row>
    <row r="111" ht="14.25" customHeight="1">
      <c r="A111" s="2" t="s">
        <v>20</v>
      </c>
      <c r="B111" s="2" t="s">
        <v>246</v>
      </c>
      <c r="C111" s="2" t="s">
        <v>264</v>
      </c>
      <c r="D111" s="2" t="s">
        <v>275</v>
      </c>
      <c r="E111" s="2" t="s">
        <v>276</v>
      </c>
      <c r="F111" s="2" t="s">
        <v>25</v>
      </c>
      <c r="G111" s="2" t="s">
        <v>26</v>
      </c>
      <c r="H111" s="2" t="s">
        <v>27</v>
      </c>
    </row>
    <row r="112" ht="14.25" customHeight="1">
      <c r="A112" s="2" t="s">
        <v>20</v>
      </c>
      <c r="B112" s="2" t="s">
        <v>246</v>
      </c>
      <c r="C112" s="2" t="s">
        <v>264</v>
      </c>
      <c r="D112" s="2" t="s">
        <v>277</v>
      </c>
      <c r="E112" s="2" t="s">
        <v>278</v>
      </c>
      <c r="F112" s="2" t="s">
        <v>25</v>
      </c>
      <c r="G112" s="2" t="s">
        <v>26</v>
      </c>
      <c r="H112" s="2" t="s">
        <v>27</v>
      </c>
    </row>
    <row r="113" ht="14.25" customHeight="1">
      <c r="A113" s="2" t="s">
        <v>20</v>
      </c>
      <c r="B113" s="2" t="s">
        <v>246</v>
      </c>
      <c r="C113" s="2" t="s">
        <v>264</v>
      </c>
      <c r="D113" s="2" t="s">
        <v>279</v>
      </c>
      <c r="E113" s="2" t="s">
        <v>280</v>
      </c>
      <c r="F113" s="2" t="s">
        <v>25</v>
      </c>
      <c r="G113" s="2" t="s">
        <v>26</v>
      </c>
      <c r="H113" s="2" t="s">
        <v>27</v>
      </c>
    </row>
    <row r="114" ht="14.25" customHeight="1">
      <c r="A114" s="2" t="s">
        <v>20</v>
      </c>
      <c r="B114" s="2" t="s">
        <v>246</v>
      </c>
      <c r="C114" s="2" t="s">
        <v>281</v>
      </c>
      <c r="D114" s="2" t="s">
        <v>282</v>
      </c>
      <c r="E114" s="2" t="s">
        <v>283</v>
      </c>
      <c r="F114" s="2" t="s">
        <v>25</v>
      </c>
      <c r="G114" s="2" t="s">
        <v>26</v>
      </c>
      <c r="H114" s="2" t="s">
        <v>27</v>
      </c>
    </row>
    <row r="115" ht="14.25" customHeight="1">
      <c r="A115" s="2" t="s">
        <v>20</v>
      </c>
      <c r="B115" s="2" t="s">
        <v>246</v>
      </c>
      <c r="C115" s="2" t="s">
        <v>281</v>
      </c>
      <c r="D115" s="2" t="s">
        <v>284</v>
      </c>
      <c r="E115" s="2" t="s">
        <v>285</v>
      </c>
      <c r="F115" s="2" t="s">
        <v>25</v>
      </c>
      <c r="G115" s="2" t="s">
        <v>26</v>
      </c>
      <c r="H115" s="2" t="s">
        <v>27</v>
      </c>
    </row>
    <row r="116" ht="14.25" customHeight="1">
      <c r="A116" s="2" t="s">
        <v>20</v>
      </c>
      <c r="B116" s="2" t="s">
        <v>246</v>
      </c>
      <c r="C116" s="2" t="s">
        <v>281</v>
      </c>
      <c r="D116" s="2" t="s">
        <v>286</v>
      </c>
      <c r="E116" s="2" t="s">
        <v>287</v>
      </c>
      <c r="F116" s="2" t="s">
        <v>25</v>
      </c>
      <c r="G116" s="2" t="s">
        <v>26</v>
      </c>
      <c r="H116" s="2" t="s">
        <v>27</v>
      </c>
    </row>
    <row r="117" ht="14.25" customHeight="1">
      <c r="A117" s="2" t="s">
        <v>20</v>
      </c>
      <c r="B117" s="2" t="s">
        <v>246</v>
      </c>
      <c r="C117" s="2" t="s">
        <v>281</v>
      </c>
      <c r="D117" s="2" t="s">
        <v>288</v>
      </c>
      <c r="E117" s="2" t="s">
        <v>289</v>
      </c>
      <c r="F117" s="2" t="s">
        <v>25</v>
      </c>
      <c r="G117" s="2" t="s">
        <v>26</v>
      </c>
      <c r="H117" s="2" t="s">
        <v>27</v>
      </c>
    </row>
    <row r="118" ht="14.25" customHeight="1">
      <c r="A118" s="2" t="s">
        <v>20</v>
      </c>
      <c r="B118" s="2" t="s">
        <v>246</v>
      </c>
      <c r="C118" s="2" t="s">
        <v>281</v>
      </c>
      <c r="D118" s="2" t="s">
        <v>290</v>
      </c>
      <c r="E118" s="2" t="s">
        <v>291</v>
      </c>
      <c r="F118" s="2" t="s">
        <v>25</v>
      </c>
      <c r="G118" s="2" t="s">
        <v>26</v>
      </c>
      <c r="H118" s="2" t="s">
        <v>27</v>
      </c>
    </row>
    <row r="119" ht="14.25" customHeight="1">
      <c r="A119" s="2" t="s">
        <v>20</v>
      </c>
      <c r="B119" s="2" t="s">
        <v>246</v>
      </c>
      <c r="C119" s="2" t="s">
        <v>281</v>
      </c>
      <c r="D119" s="2" t="s">
        <v>292</v>
      </c>
      <c r="E119" s="2" t="s">
        <v>293</v>
      </c>
      <c r="F119" s="2" t="s">
        <v>25</v>
      </c>
      <c r="G119" s="2" t="s">
        <v>26</v>
      </c>
      <c r="H119" s="2" t="s">
        <v>27</v>
      </c>
    </row>
    <row r="120" ht="14.25" customHeight="1">
      <c r="A120" s="2" t="s">
        <v>20</v>
      </c>
      <c r="B120" s="2" t="s">
        <v>246</v>
      </c>
      <c r="C120" s="2" t="s">
        <v>281</v>
      </c>
      <c r="D120" s="2" t="s">
        <v>294</v>
      </c>
      <c r="E120" s="2" t="s">
        <v>295</v>
      </c>
      <c r="F120" s="2" t="s">
        <v>25</v>
      </c>
      <c r="G120" s="2" t="s">
        <v>26</v>
      </c>
      <c r="H120" s="2" t="s">
        <v>27</v>
      </c>
    </row>
    <row r="121" ht="14.25" customHeight="1">
      <c r="A121" s="2" t="s">
        <v>20</v>
      </c>
      <c r="B121" s="2" t="s">
        <v>246</v>
      </c>
      <c r="C121" s="2" t="s">
        <v>281</v>
      </c>
      <c r="D121" s="2" t="s">
        <v>296</v>
      </c>
      <c r="E121" s="2" t="s">
        <v>297</v>
      </c>
      <c r="F121" s="2" t="s">
        <v>25</v>
      </c>
      <c r="G121" s="2" t="s">
        <v>26</v>
      </c>
      <c r="H121" s="2" t="s">
        <v>27</v>
      </c>
    </row>
    <row r="122" ht="14.25" customHeight="1">
      <c r="A122" s="2" t="s">
        <v>20</v>
      </c>
      <c r="B122" s="2" t="s">
        <v>246</v>
      </c>
      <c r="C122" s="2" t="s">
        <v>298</v>
      </c>
      <c r="D122" s="2" t="s">
        <v>299</v>
      </c>
      <c r="E122" s="2" t="s">
        <v>300</v>
      </c>
      <c r="F122" s="2" t="s">
        <v>25</v>
      </c>
      <c r="G122" s="2" t="s">
        <v>26</v>
      </c>
      <c r="H122" s="2" t="s">
        <v>27</v>
      </c>
    </row>
    <row r="123" ht="14.25" customHeight="1">
      <c r="A123" s="2" t="s">
        <v>20</v>
      </c>
      <c r="B123" s="2" t="s">
        <v>246</v>
      </c>
      <c r="C123" s="2" t="s">
        <v>298</v>
      </c>
      <c r="D123" s="2" t="s">
        <v>301</v>
      </c>
      <c r="E123" s="2" t="s">
        <v>302</v>
      </c>
      <c r="F123" s="2" t="s">
        <v>25</v>
      </c>
      <c r="G123" s="2" t="s">
        <v>26</v>
      </c>
      <c r="H123" s="2" t="s">
        <v>27</v>
      </c>
    </row>
    <row r="124" ht="14.25" customHeight="1">
      <c r="A124" s="2" t="s">
        <v>20</v>
      </c>
      <c r="B124" s="2" t="s">
        <v>246</v>
      </c>
      <c r="C124" s="2" t="s">
        <v>298</v>
      </c>
      <c r="D124" s="2" t="s">
        <v>303</v>
      </c>
      <c r="E124" s="2" t="s">
        <v>304</v>
      </c>
      <c r="F124" s="2" t="s">
        <v>25</v>
      </c>
      <c r="G124" s="2" t="s">
        <v>26</v>
      </c>
      <c r="H124" s="2" t="s">
        <v>27</v>
      </c>
    </row>
    <row r="125" ht="14.25" customHeight="1">
      <c r="A125" s="2" t="s">
        <v>20</v>
      </c>
      <c r="B125" s="2" t="s">
        <v>246</v>
      </c>
      <c r="C125" s="2" t="s">
        <v>298</v>
      </c>
      <c r="D125" s="2" t="s">
        <v>305</v>
      </c>
      <c r="E125" s="2" t="s">
        <v>306</v>
      </c>
      <c r="F125" s="2" t="s">
        <v>25</v>
      </c>
      <c r="G125" s="2" t="s">
        <v>26</v>
      </c>
      <c r="H125" s="2" t="s">
        <v>27</v>
      </c>
    </row>
    <row r="126" ht="14.25" customHeight="1">
      <c r="A126" s="2" t="s">
        <v>20</v>
      </c>
      <c r="B126" s="2" t="s">
        <v>246</v>
      </c>
      <c r="C126" s="2" t="s">
        <v>298</v>
      </c>
      <c r="D126" s="2" t="s">
        <v>307</v>
      </c>
      <c r="E126" s="2" t="s">
        <v>308</v>
      </c>
      <c r="F126" s="2" t="s">
        <v>25</v>
      </c>
      <c r="G126" s="2" t="s">
        <v>26</v>
      </c>
      <c r="H126" s="2" t="s">
        <v>27</v>
      </c>
    </row>
    <row r="127" ht="14.25" customHeight="1">
      <c r="A127" s="2" t="s">
        <v>20</v>
      </c>
      <c r="B127" s="2" t="s">
        <v>246</v>
      </c>
      <c r="C127" s="2" t="s">
        <v>298</v>
      </c>
      <c r="D127" s="2" t="s">
        <v>309</v>
      </c>
      <c r="E127" s="2" t="s">
        <v>310</v>
      </c>
      <c r="F127" s="2" t="s">
        <v>25</v>
      </c>
      <c r="G127" s="2" t="s">
        <v>26</v>
      </c>
      <c r="H127" s="2" t="s">
        <v>27</v>
      </c>
    </row>
    <row r="128" ht="14.25" customHeight="1">
      <c r="A128" s="2" t="s">
        <v>20</v>
      </c>
      <c r="B128" s="2" t="s">
        <v>246</v>
      </c>
      <c r="C128" s="2" t="s">
        <v>298</v>
      </c>
      <c r="D128" s="2" t="s">
        <v>311</v>
      </c>
      <c r="E128" s="2" t="s">
        <v>312</v>
      </c>
      <c r="F128" s="2" t="s">
        <v>25</v>
      </c>
      <c r="G128" s="2" t="s">
        <v>26</v>
      </c>
      <c r="H128" s="2" t="s">
        <v>27</v>
      </c>
    </row>
    <row r="129" ht="14.25" customHeight="1">
      <c r="A129" s="2" t="s">
        <v>20</v>
      </c>
      <c r="B129" s="2" t="s">
        <v>246</v>
      </c>
      <c r="C129" s="2" t="s">
        <v>298</v>
      </c>
      <c r="D129" s="2" t="s">
        <v>135</v>
      </c>
      <c r="E129" s="2" t="s">
        <v>136</v>
      </c>
      <c r="F129" s="2" t="s">
        <v>25</v>
      </c>
      <c r="G129" s="2" t="s">
        <v>26</v>
      </c>
      <c r="H129" s="2" t="s">
        <v>27</v>
      </c>
    </row>
    <row r="130" ht="14.25" customHeight="1">
      <c r="A130" s="2" t="s">
        <v>20</v>
      </c>
      <c r="B130" s="2" t="s">
        <v>313</v>
      </c>
      <c r="C130" s="2" t="s">
        <v>314</v>
      </c>
      <c r="D130" s="2" t="s">
        <v>315</v>
      </c>
      <c r="E130" s="2" t="s">
        <v>316</v>
      </c>
      <c r="F130" s="2" t="s">
        <v>25</v>
      </c>
      <c r="G130" s="2" t="s">
        <v>26</v>
      </c>
      <c r="H130" s="2" t="s">
        <v>27</v>
      </c>
    </row>
    <row r="131" ht="14.25" customHeight="1">
      <c r="A131" s="2" t="s">
        <v>20</v>
      </c>
      <c r="B131" s="2" t="s">
        <v>313</v>
      </c>
      <c r="C131" s="2" t="s">
        <v>314</v>
      </c>
      <c r="D131" s="2" t="s">
        <v>317</v>
      </c>
      <c r="E131" s="2" t="s">
        <v>318</v>
      </c>
      <c r="F131" s="2" t="s">
        <v>25</v>
      </c>
      <c r="G131" s="2" t="s">
        <v>26</v>
      </c>
      <c r="H131" s="2" t="s">
        <v>27</v>
      </c>
    </row>
    <row r="132" ht="14.25" customHeight="1">
      <c r="A132" s="2" t="s">
        <v>20</v>
      </c>
      <c r="B132" s="2" t="s">
        <v>313</v>
      </c>
      <c r="C132" s="2" t="s">
        <v>314</v>
      </c>
      <c r="D132" s="2" t="s">
        <v>319</v>
      </c>
      <c r="E132" s="2" t="s">
        <v>320</v>
      </c>
      <c r="F132" s="2" t="s">
        <v>25</v>
      </c>
      <c r="G132" s="2" t="s">
        <v>26</v>
      </c>
      <c r="H132" s="2" t="s">
        <v>27</v>
      </c>
    </row>
    <row r="133" ht="14.25" customHeight="1">
      <c r="A133" s="2" t="s">
        <v>20</v>
      </c>
      <c r="B133" s="2" t="s">
        <v>313</v>
      </c>
      <c r="C133" s="2" t="s">
        <v>314</v>
      </c>
      <c r="D133" s="2" t="s">
        <v>321</v>
      </c>
      <c r="E133" s="2" t="s">
        <v>322</v>
      </c>
      <c r="F133" s="2" t="s">
        <v>25</v>
      </c>
      <c r="G133" s="2" t="s">
        <v>26</v>
      </c>
      <c r="H133" s="2" t="s">
        <v>27</v>
      </c>
    </row>
    <row r="134" ht="14.25" customHeight="1">
      <c r="A134" s="2" t="s">
        <v>20</v>
      </c>
      <c r="B134" s="2" t="s">
        <v>313</v>
      </c>
      <c r="C134" s="2" t="s">
        <v>314</v>
      </c>
      <c r="D134" s="2" t="s">
        <v>323</v>
      </c>
      <c r="E134" s="2" t="s">
        <v>324</v>
      </c>
      <c r="F134" s="2" t="s">
        <v>25</v>
      </c>
      <c r="G134" s="2" t="s">
        <v>26</v>
      </c>
      <c r="H134" s="2" t="s">
        <v>27</v>
      </c>
    </row>
    <row r="135" ht="14.25" customHeight="1">
      <c r="A135" s="2" t="s">
        <v>20</v>
      </c>
      <c r="B135" s="2" t="s">
        <v>313</v>
      </c>
      <c r="C135" s="2" t="s">
        <v>314</v>
      </c>
      <c r="D135" s="2" t="s">
        <v>325</v>
      </c>
      <c r="E135" s="2" t="s">
        <v>326</v>
      </c>
      <c r="F135" s="2" t="s">
        <v>25</v>
      </c>
      <c r="G135" s="2" t="s">
        <v>26</v>
      </c>
      <c r="H135" s="2" t="s">
        <v>27</v>
      </c>
    </row>
    <row r="136" ht="14.25" customHeight="1">
      <c r="A136" s="2" t="s">
        <v>20</v>
      </c>
      <c r="B136" s="2" t="s">
        <v>313</v>
      </c>
      <c r="C136" s="2" t="s">
        <v>314</v>
      </c>
      <c r="D136" s="2" t="s">
        <v>327</v>
      </c>
      <c r="E136" s="2" t="s">
        <v>328</v>
      </c>
      <c r="F136" s="2" t="s">
        <v>25</v>
      </c>
      <c r="G136" s="2" t="s">
        <v>26</v>
      </c>
      <c r="H136" s="2" t="s">
        <v>27</v>
      </c>
    </row>
    <row r="137" ht="14.25" customHeight="1">
      <c r="A137" s="2" t="s">
        <v>20</v>
      </c>
      <c r="B137" s="2" t="s">
        <v>313</v>
      </c>
      <c r="C137" s="2" t="s">
        <v>314</v>
      </c>
      <c r="D137" s="2" t="s">
        <v>329</v>
      </c>
      <c r="E137" s="2" t="s">
        <v>330</v>
      </c>
      <c r="F137" s="2" t="s">
        <v>25</v>
      </c>
      <c r="G137" s="2" t="s">
        <v>26</v>
      </c>
      <c r="H137" s="2" t="s">
        <v>27</v>
      </c>
    </row>
    <row r="138" ht="14.25" customHeight="1">
      <c r="A138" s="2" t="s">
        <v>20</v>
      </c>
      <c r="B138" s="2" t="s">
        <v>313</v>
      </c>
      <c r="C138" s="2" t="s">
        <v>331</v>
      </c>
      <c r="D138" s="2" t="s">
        <v>332</v>
      </c>
      <c r="E138" s="2" t="s">
        <v>333</v>
      </c>
      <c r="F138" s="2" t="s">
        <v>25</v>
      </c>
      <c r="G138" s="2" t="s">
        <v>26</v>
      </c>
      <c r="H138" s="2" t="s">
        <v>27</v>
      </c>
    </row>
    <row r="139" ht="14.25" customHeight="1">
      <c r="A139" s="2" t="s">
        <v>20</v>
      </c>
      <c r="B139" s="2" t="s">
        <v>313</v>
      </c>
      <c r="C139" s="2" t="s">
        <v>331</v>
      </c>
      <c r="D139" s="2" t="s">
        <v>334</v>
      </c>
      <c r="E139" s="2" t="s">
        <v>335</v>
      </c>
      <c r="F139" s="2" t="s">
        <v>25</v>
      </c>
      <c r="G139" s="2" t="s">
        <v>26</v>
      </c>
      <c r="H139" s="2" t="s">
        <v>27</v>
      </c>
    </row>
    <row r="140" ht="14.25" customHeight="1">
      <c r="A140" s="2" t="s">
        <v>20</v>
      </c>
      <c r="B140" s="2" t="s">
        <v>313</v>
      </c>
      <c r="C140" s="2" t="s">
        <v>331</v>
      </c>
      <c r="D140" s="2" t="s">
        <v>336</v>
      </c>
      <c r="E140" s="2" t="s">
        <v>337</v>
      </c>
      <c r="F140" s="2" t="s">
        <v>25</v>
      </c>
      <c r="G140" s="2" t="s">
        <v>26</v>
      </c>
      <c r="H140" s="2" t="s">
        <v>27</v>
      </c>
    </row>
    <row r="141" ht="14.25" customHeight="1">
      <c r="A141" s="2" t="s">
        <v>20</v>
      </c>
      <c r="B141" s="2" t="s">
        <v>313</v>
      </c>
      <c r="C141" s="2" t="s">
        <v>331</v>
      </c>
      <c r="D141" s="2" t="s">
        <v>338</v>
      </c>
      <c r="E141" s="2" t="s">
        <v>339</v>
      </c>
      <c r="F141" s="2" t="s">
        <v>25</v>
      </c>
      <c r="G141" s="2" t="s">
        <v>26</v>
      </c>
      <c r="H141" s="2" t="s">
        <v>27</v>
      </c>
    </row>
    <row r="142" ht="14.25" customHeight="1">
      <c r="A142" s="2" t="s">
        <v>20</v>
      </c>
      <c r="B142" s="2" t="s">
        <v>313</v>
      </c>
      <c r="C142" s="2" t="s">
        <v>331</v>
      </c>
      <c r="D142" s="2" t="s">
        <v>340</v>
      </c>
      <c r="E142" s="2" t="s">
        <v>341</v>
      </c>
      <c r="F142" s="2" t="s">
        <v>25</v>
      </c>
      <c r="G142" s="2" t="s">
        <v>26</v>
      </c>
      <c r="H142" s="2" t="s">
        <v>27</v>
      </c>
    </row>
    <row r="143" ht="14.25" customHeight="1">
      <c r="A143" s="2" t="s">
        <v>20</v>
      </c>
      <c r="B143" s="2" t="s">
        <v>313</v>
      </c>
      <c r="C143" s="2" t="s">
        <v>331</v>
      </c>
      <c r="D143" s="2" t="s">
        <v>342</v>
      </c>
      <c r="E143" s="2" t="s">
        <v>343</v>
      </c>
      <c r="F143" s="2" t="s">
        <v>25</v>
      </c>
      <c r="G143" s="2" t="s">
        <v>26</v>
      </c>
      <c r="H143" s="2" t="s">
        <v>27</v>
      </c>
    </row>
    <row r="144" ht="14.25" customHeight="1">
      <c r="A144" s="2" t="s">
        <v>20</v>
      </c>
      <c r="B144" s="2" t="s">
        <v>313</v>
      </c>
      <c r="C144" s="2" t="s">
        <v>331</v>
      </c>
      <c r="D144" s="2" t="s">
        <v>344</v>
      </c>
      <c r="E144" s="2" t="s">
        <v>345</v>
      </c>
      <c r="F144" s="2" t="s">
        <v>25</v>
      </c>
      <c r="G144" s="2" t="s">
        <v>26</v>
      </c>
      <c r="H144" s="2" t="s">
        <v>27</v>
      </c>
    </row>
    <row r="145" ht="14.25" customHeight="1">
      <c r="A145" s="2" t="s">
        <v>20</v>
      </c>
      <c r="B145" s="2" t="s">
        <v>313</v>
      </c>
      <c r="C145" s="2" t="s">
        <v>331</v>
      </c>
      <c r="D145" s="2" t="s">
        <v>346</v>
      </c>
      <c r="E145" s="2" t="s">
        <v>347</v>
      </c>
      <c r="F145" s="2" t="s">
        <v>25</v>
      </c>
      <c r="G145" s="2" t="s">
        <v>26</v>
      </c>
      <c r="H145" s="2" t="s">
        <v>27</v>
      </c>
    </row>
    <row r="146" ht="14.25" customHeight="1">
      <c r="A146" s="2" t="s">
        <v>20</v>
      </c>
      <c r="B146" s="2" t="s">
        <v>313</v>
      </c>
      <c r="C146" s="2" t="s">
        <v>348</v>
      </c>
      <c r="D146" s="2" t="s">
        <v>349</v>
      </c>
      <c r="E146" s="2" t="s">
        <v>350</v>
      </c>
      <c r="F146" s="2" t="s">
        <v>25</v>
      </c>
      <c r="G146" s="2" t="s">
        <v>26</v>
      </c>
      <c r="H146" s="2" t="s">
        <v>27</v>
      </c>
    </row>
    <row r="147" ht="14.25" customHeight="1">
      <c r="A147" s="2" t="s">
        <v>20</v>
      </c>
      <c r="B147" s="2" t="s">
        <v>313</v>
      </c>
      <c r="C147" s="2" t="s">
        <v>348</v>
      </c>
      <c r="D147" s="2" t="s">
        <v>351</v>
      </c>
      <c r="E147" s="2" t="s">
        <v>352</v>
      </c>
      <c r="F147" s="2" t="s">
        <v>25</v>
      </c>
      <c r="G147" s="2" t="s">
        <v>26</v>
      </c>
      <c r="H147" s="2" t="s">
        <v>27</v>
      </c>
    </row>
    <row r="148" ht="14.25" customHeight="1">
      <c r="A148" s="2" t="s">
        <v>20</v>
      </c>
      <c r="B148" s="2" t="s">
        <v>313</v>
      </c>
      <c r="C148" s="2" t="s">
        <v>348</v>
      </c>
      <c r="D148" s="2" t="s">
        <v>353</v>
      </c>
      <c r="E148" s="2" t="s">
        <v>354</v>
      </c>
      <c r="F148" s="2" t="s">
        <v>25</v>
      </c>
      <c r="G148" s="2" t="s">
        <v>26</v>
      </c>
      <c r="H148" s="2" t="s">
        <v>27</v>
      </c>
    </row>
    <row r="149" ht="14.25" customHeight="1">
      <c r="A149" s="2" t="s">
        <v>20</v>
      </c>
      <c r="B149" s="2" t="s">
        <v>313</v>
      </c>
      <c r="C149" s="2" t="s">
        <v>348</v>
      </c>
      <c r="D149" s="2" t="s">
        <v>355</v>
      </c>
      <c r="E149" s="2" t="s">
        <v>356</v>
      </c>
      <c r="F149" s="2" t="s">
        <v>25</v>
      </c>
      <c r="G149" s="2" t="s">
        <v>26</v>
      </c>
      <c r="H149" s="2" t="s">
        <v>27</v>
      </c>
    </row>
    <row r="150" ht="14.25" customHeight="1">
      <c r="A150" s="2" t="s">
        <v>20</v>
      </c>
      <c r="B150" s="2" t="s">
        <v>313</v>
      </c>
      <c r="C150" s="2" t="s">
        <v>348</v>
      </c>
      <c r="D150" s="2" t="s">
        <v>357</v>
      </c>
      <c r="E150" s="2" t="s">
        <v>358</v>
      </c>
      <c r="F150" s="2" t="s">
        <v>25</v>
      </c>
      <c r="G150" s="2" t="s">
        <v>26</v>
      </c>
      <c r="H150" s="2" t="s">
        <v>27</v>
      </c>
    </row>
    <row r="151" ht="14.25" customHeight="1">
      <c r="A151" s="2" t="s">
        <v>20</v>
      </c>
      <c r="B151" s="2" t="s">
        <v>313</v>
      </c>
      <c r="C151" s="2" t="s">
        <v>348</v>
      </c>
      <c r="D151" s="2" t="s">
        <v>359</v>
      </c>
      <c r="E151" s="2" t="s">
        <v>360</v>
      </c>
      <c r="F151" s="2" t="s">
        <v>25</v>
      </c>
      <c r="G151" s="2" t="s">
        <v>26</v>
      </c>
      <c r="H151" s="2" t="s">
        <v>27</v>
      </c>
    </row>
    <row r="152" ht="14.25" customHeight="1">
      <c r="A152" s="2" t="s">
        <v>20</v>
      </c>
      <c r="B152" s="2" t="s">
        <v>313</v>
      </c>
      <c r="C152" s="2" t="s">
        <v>348</v>
      </c>
      <c r="D152" s="2" t="s">
        <v>361</v>
      </c>
      <c r="E152" s="2" t="s">
        <v>362</v>
      </c>
      <c r="F152" s="2" t="s">
        <v>25</v>
      </c>
      <c r="G152" s="2" t="s">
        <v>26</v>
      </c>
      <c r="H152" s="2" t="s">
        <v>27</v>
      </c>
    </row>
    <row r="153" ht="14.25" customHeight="1">
      <c r="A153" s="2" t="s">
        <v>20</v>
      </c>
      <c r="B153" s="2" t="s">
        <v>313</v>
      </c>
      <c r="C153" s="2" t="s">
        <v>348</v>
      </c>
      <c r="D153" s="2" t="s">
        <v>363</v>
      </c>
      <c r="E153" s="2" t="s">
        <v>364</v>
      </c>
      <c r="F153" s="2" t="s">
        <v>25</v>
      </c>
      <c r="G153" s="2" t="s">
        <v>26</v>
      </c>
      <c r="H153" s="2" t="s">
        <v>27</v>
      </c>
    </row>
    <row r="154" ht="14.25" customHeight="1">
      <c r="A154" s="2" t="s">
        <v>20</v>
      </c>
      <c r="B154" s="2" t="s">
        <v>313</v>
      </c>
      <c r="C154" s="2" t="s">
        <v>365</v>
      </c>
      <c r="D154" s="2" t="s">
        <v>366</v>
      </c>
      <c r="E154" s="2" t="s">
        <v>367</v>
      </c>
      <c r="F154" s="2" t="s">
        <v>25</v>
      </c>
      <c r="G154" s="2" t="s">
        <v>26</v>
      </c>
      <c r="H154" s="2" t="s">
        <v>27</v>
      </c>
    </row>
    <row r="155" ht="14.25" customHeight="1">
      <c r="A155" s="2" t="s">
        <v>20</v>
      </c>
      <c r="B155" s="2" t="s">
        <v>313</v>
      </c>
      <c r="C155" s="2" t="s">
        <v>365</v>
      </c>
      <c r="D155" s="2" t="s">
        <v>368</v>
      </c>
      <c r="E155" s="2" t="s">
        <v>369</v>
      </c>
      <c r="F155" s="2" t="s">
        <v>25</v>
      </c>
      <c r="G155" s="2" t="s">
        <v>26</v>
      </c>
      <c r="H155" s="2" t="s">
        <v>27</v>
      </c>
    </row>
    <row r="156" ht="14.25" customHeight="1">
      <c r="A156" s="2" t="s">
        <v>20</v>
      </c>
      <c r="B156" s="2" t="s">
        <v>313</v>
      </c>
      <c r="C156" s="2" t="s">
        <v>365</v>
      </c>
      <c r="D156" s="2" t="s">
        <v>370</v>
      </c>
      <c r="E156" s="2" t="s">
        <v>371</v>
      </c>
      <c r="F156" s="2" t="s">
        <v>25</v>
      </c>
      <c r="G156" s="2" t="s">
        <v>26</v>
      </c>
      <c r="H156" s="2" t="s">
        <v>27</v>
      </c>
    </row>
    <row r="157" ht="14.25" customHeight="1">
      <c r="A157" s="2" t="s">
        <v>20</v>
      </c>
      <c r="B157" s="2" t="s">
        <v>313</v>
      </c>
      <c r="C157" s="2" t="s">
        <v>365</v>
      </c>
      <c r="D157" s="2" t="s">
        <v>372</v>
      </c>
      <c r="E157" s="2" t="s">
        <v>373</v>
      </c>
      <c r="F157" s="2" t="s">
        <v>25</v>
      </c>
      <c r="G157" s="2" t="s">
        <v>26</v>
      </c>
      <c r="H157" s="2" t="s">
        <v>27</v>
      </c>
    </row>
    <row r="158" ht="14.25" customHeight="1">
      <c r="A158" s="2" t="s">
        <v>20</v>
      </c>
      <c r="B158" s="2" t="s">
        <v>313</v>
      </c>
      <c r="C158" s="2" t="s">
        <v>365</v>
      </c>
      <c r="D158" s="2" t="s">
        <v>374</v>
      </c>
      <c r="E158" s="2" t="s">
        <v>375</v>
      </c>
      <c r="F158" s="2" t="s">
        <v>25</v>
      </c>
      <c r="G158" s="2" t="s">
        <v>26</v>
      </c>
      <c r="H158" s="2" t="s">
        <v>27</v>
      </c>
    </row>
    <row r="159" ht="14.25" customHeight="1">
      <c r="A159" s="2" t="s">
        <v>20</v>
      </c>
      <c r="B159" s="2" t="s">
        <v>313</v>
      </c>
      <c r="C159" s="2" t="s">
        <v>365</v>
      </c>
      <c r="D159" s="2" t="s">
        <v>376</v>
      </c>
      <c r="E159" s="2" t="s">
        <v>377</v>
      </c>
      <c r="F159" s="2" t="s">
        <v>25</v>
      </c>
      <c r="G159" s="2" t="s">
        <v>26</v>
      </c>
      <c r="H159" s="2" t="s">
        <v>27</v>
      </c>
    </row>
    <row r="160" ht="14.25" customHeight="1">
      <c r="A160" s="2" t="s">
        <v>20</v>
      </c>
      <c r="B160" s="2" t="s">
        <v>313</v>
      </c>
      <c r="C160" s="2" t="s">
        <v>365</v>
      </c>
      <c r="D160" s="2" t="s">
        <v>378</v>
      </c>
      <c r="E160" s="2" t="s">
        <v>379</v>
      </c>
      <c r="F160" s="2" t="s">
        <v>25</v>
      </c>
      <c r="G160" s="2" t="s">
        <v>26</v>
      </c>
      <c r="H160" s="2" t="s">
        <v>27</v>
      </c>
    </row>
    <row r="161" ht="14.25" customHeight="1">
      <c r="A161" s="2" t="s">
        <v>20</v>
      </c>
      <c r="B161" s="2" t="s">
        <v>313</v>
      </c>
      <c r="C161" s="2" t="s">
        <v>365</v>
      </c>
      <c r="D161" s="2" t="s">
        <v>380</v>
      </c>
      <c r="E161" s="2" t="s">
        <v>381</v>
      </c>
      <c r="F161" s="2" t="s">
        <v>25</v>
      </c>
      <c r="G161" s="2" t="s">
        <v>26</v>
      </c>
      <c r="H161" s="2" t="s">
        <v>27</v>
      </c>
    </row>
    <row r="162" ht="14.25" customHeight="1">
      <c r="A162" s="2" t="s">
        <v>20</v>
      </c>
      <c r="B162" s="2" t="s">
        <v>382</v>
      </c>
      <c r="C162" s="2" t="s">
        <v>383</v>
      </c>
      <c r="D162" s="2" t="s">
        <v>384</v>
      </c>
      <c r="E162" s="2" t="s">
        <v>385</v>
      </c>
      <c r="F162" s="2" t="s">
        <v>25</v>
      </c>
      <c r="G162" s="2" t="s">
        <v>26</v>
      </c>
      <c r="H162" s="2" t="s">
        <v>27</v>
      </c>
    </row>
    <row r="163" ht="14.25" customHeight="1">
      <c r="A163" s="2" t="s">
        <v>20</v>
      </c>
      <c r="B163" s="2" t="s">
        <v>382</v>
      </c>
      <c r="C163" s="2" t="s">
        <v>383</v>
      </c>
      <c r="D163" s="2" t="s">
        <v>386</v>
      </c>
      <c r="E163" s="2" t="s">
        <v>387</v>
      </c>
      <c r="F163" s="2" t="s">
        <v>25</v>
      </c>
      <c r="G163" s="2" t="s">
        <v>26</v>
      </c>
      <c r="H163" s="2" t="s">
        <v>27</v>
      </c>
    </row>
    <row r="164" ht="14.25" customHeight="1">
      <c r="A164" s="2" t="s">
        <v>20</v>
      </c>
      <c r="B164" s="2" t="s">
        <v>382</v>
      </c>
      <c r="C164" s="2" t="s">
        <v>383</v>
      </c>
      <c r="D164" s="2" t="s">
        <v>388</v>
      </c>
      <c r="E164" s="2" t="s">
        <v>389</v>
      </c>
      <c r="F164" s="2" t="s">
        <v>25</v>
      </c>
      <c r="G164" s="2" t="s">
        <v>26</v>
      </c>
      <c r="H164" s="2" t="s">
        <v>27</v>
      </c>
    </row>
    <row r="165" ht="14.25" customHeight="1">
      <c r="A165" s="2" t="s">
        <v>20</v>
      </c>
      <c r="B165" s="2" t="s">
        <v>382</v>
      </c>
      <c r="C165" s="2" t="s">
        <v>383</v>
      </c>
      <c r="D165" s="2" t="s">
        <v>390</v>
      </c>
      <c r="E165" s="2" t="s">
        <v>391</v>
      </c>
      <c r="F165" s="2" t="s">
        <v>25</v>
      </c>
      <c r="G165" s="2" t="s">
        <v>26</v>
      </c>
      <c r="H165" s="2" t="s">
        <v>27</v>
      </c>
    </row>
    <row r="166" ht="14.25" customHeight="1">
      <c r="A166" s="2" t="s">
        <v>20</v>
      </c>
      <c r="B166" s="2" t="s">
        <v>382</v>
      </c>
      <c r="C166" s="2" t="s">
        <v>383</v>
      </c>
      <c r="D166" s="2" t="s">
        <v>392</v>
      </c>
      <c r="E166" s="2" t="s">
        <v>393</v>
      </c>
      <c r="F166" s="2" t="s">
        <v>25</v>
      </c>
      <c r="G166" s="2" t="s">
        <v>26</v>
      </c>
      <c r="H166" s="2" t="s">
        <v>27</v>
      </c>
    </row>
    <row r="167" ht="14.25" customHeight="1">
      <c r="A167" s="2" t="s">
        <v>20</v>
      </c>
      <c r="B167" s="2" t="s">
        <v>382</v>
      </c>
      <c r="C167" s="2" t="s">
        <v>383</v>
      </c>
      <c r="D167" s="2" t="s">
        <v>394</v>
      </c>
      <c r="E167" s="2" t="s">
        <v>395</v>
      </c>
      <c r="F167" s="2" t="s">
        <v>25</v>
      </c>
      <c r="G167" s="2" t="s">
        <v>26</v>
      </c>
      <c r="H167" s="2" t="s">
        <v>27</v>
      </c>
    </row>
    <row r="168" ht="14.25" customHeight="1">
      <c r="A168" s="2" t="s">
        <v>20</v>
      </c>
      <c r="B168" s="2" t="s">
        <v>382</v>
      </c>
      <c r="C168" s="2" t="s">
        <v>383</v>
      </c>
      <c r="D168" s="2" t="s">
        <v>396</v>
      </c>
      <c r="E168" s="2" t="s">
        <v>397</v>
      </c>
      <c r="F168" s="2" t="s">
        <v>25</v>
      </c>
      <c r="G168" s="2" t="s">
        <v>26</v>
      </c>
      <c r="H168" s="2" t="s">
        <v>27</v>
      </c>
    </row>
    <row r="169" ht="14.25" customHeight="1">
      <c r="A169" s="2" t="s">
        <v>20</v>
      </c>
      <c r="B169" s="2" t="s">
        <v>382</v>
      </c>
      <c r="C169" s="2" t="s">
        <v>383</v>
      </c>
      <c r="D169" s="2" t="s">
        <v>359</v>
      </c>
      <c r="E169" s="2" t="s">
        <v>360</v>
      </c>
      <c r="F169" s="2" t="s">
        <v>25</v>
      </c>
      <c r="G169" s="2" t="s">
        <v>26</v>
      </c>
      <c r="H169" s="2" t="s">
        <v>27</v>
      </c>
    </row>
    <row r="170" ht="14.25" customHeight="1">
      <c r="A170" s="2" t="s">
        <v>20</v>
      </c>
      <c r="B170" s="2" t="s">
        <v>382</v>
      </c>
      <c r="C170" s="2" t="s">
        <v>398</v>
      </c>
      <c r="D170" s="2" t="s">
        <v>399</v>
      </c>
      <c r="E170" s="2" t="s">
        <v>400</v>
      </c>
      <c r="F170" s="2" t="s">
        <v>25</v>
      </c>
      <c r="G170" s="2" t="s">
        <v>26</v>
      </c>
      <c r="H170" s="2" t="s">
        <v>27</v>
      </c>
    </row>
    <row r="171" ht="14.25" customHeight="1">
      <c r="A171" s="2" t="s">
        <v>20</v>
      </c>
      <c r="B171" s="2" t="s">
        <v>382</v>
      </c>
      <c r="C171" s="2" t="s">
        <v>398</v>
      </c>
      <c r="D171" s="2" t="s">
        <v>401</v>
      </c>
      <c r="E171" s="2" t="s">
        <v>402</v>
      </c>
      <c r="F171" s="2" t="s">
        <v>25</v>
      </c>
      <c r="G171" s="2" t="s">
        <v>26</v>
      </c>
      <c r="H171" s="2" t="s">
        <v>27</v>
      </c>
    </row>
    <row r="172" ht="14.25" customHeight="1">
      <c r="A172" s="2" t="s">
        <v>20</v>
      </c>
      <c r="B172" s="2" t="s">
        <v>382</v>
      </c>
      <c r="C172" s="2" t="s">
        <v>398</v>
      </c>
      <c r="D172" s="2" t="s">
        <v>403</v>
      </c>
      <c r="E172" s="2" t="s">
        <v>404</v>
      </c>
      <c r="F172" s="2" t="s">
        <v>25</v>
      </c>
      <c r="G172" s="2" t="s">
        <v>26</v>
      </c>
      <c r="H172" s="2" t="s">
        <v>27</v>
      </c>
    </row>
    <row r="173" ht="14.25" customHeight="1">
      <c r="A173" s="2" t="s">
        <v>20</v>
      </c>
      <c r="B173" s="2" t="s">
        <v>382</v>
      </c>
      <c r="C173" s="2" t="s">
        <v>398</v>
      </c>
      <c r="D173" s="2" t="s">
        <v>405</v>
      </c>
      <c r="E173" s="2" t="s">
        <v>406</v>
      </c>
      <c r="F173" s="2" t="s">
        <v>25</v>
      </c>
      <c r="G173" s="2" t="s">
        <v>26</v>
      </c>
      <c r="H173" s="2" t="s">
        <v>27</v>
      </c>
    </row>
    <row r="174" ht="14.25" customHeight="1">
      <c r="A174" s="2" t="s">
        <v>20</v>
      </c>
      <c r="B174" s="2" t="s">
        <v>382</v>
      </c>
      <c r="C174" s="2" t="s">
        <v>398</v>
      </c>
      <c r="D174" s="2" t="s">
        <v>407</v>
      </c>
      <c r="E174" s="2" t="s">
        <v>408</v>
      </c>
      <c r="F174" s="2" t="s">
        <v>25</v>
      </c>
      <c r="G174" s="2" t="s">
        <v>26</v>
      </c>
      <c r="H174" s="2" t="s">
        <v>27</v>
      </c>
    </row>
    <row r="175" ht="14.25" customHeight="1">
      <c r="A175" s="2" t="s">
        <v>20</v>
      </c>
      <c r="B175" s="2" t="s">
        <v>382</v>
      </c>
      <c r="C175" s="2" t="s">
        <v>398</v>
      </c>
      <c r="D175" s="2" t="s">
        <v>409</v>
      </c>
      <c r="E175" s="2" t="s">
        <v>410</v>
      </c>
      <c r="F175" s="2" t="s">
        <v>25</v>
      </c>
      <c r="G175" s="2" t="s">
        <v>26</v>
      </c>
      <c r="H175" s="2" t="s">
        <v>27</v>
      </c>
    </row>
    <row r="176" ht="14.25" customHeight="1">
      <c r="A176" s="2" t="s">
        <v>20</v>
      </c>
      <c r="B176" s="2" t="s">
        <v>382</v>
      </c>
      <c r="C176" s="2" t="s">
        <v>398</v>
      </c>
      <c r="D176" s="2" t="s">
        <v>411</v>
      </c>
      <c r="E176" s="2" t="s">
        <v>412</v>
      </c>
      <c r="F176" s="2" t="s">
        <v>25</v>
      </c>
      <c r="G176" s="2" t="s">
        <v>26</v>
      </c>
      <c r="H176" s="2" t="s">
        <v>27</v>
      </c>
    </row>
    <row r="177" ht="14.25" customHeight="1">
      <c r="A177" s="2" t="s">
        <v>20</v>
      </c>
      <c r="B177" s="2" t="s">
        <v>382</v>
      </c>
      <c r="C177" s="2" t="s">
        <v>398</v>
      </c>
      <c r="D177" s="2" t="s">
        <v>413</v>
      </c>
      <c r="E177" s="2" t="s">
        <v>414</v>
      </c>
      <c r="F177" s="2" t="s">
        <v>25</v>
      </c>
      <c r="G177" s="2" t="s">
        <v>26</v>
      </c>
      <c r="H177" s="2" t="s">
        <v>27</v>
      </c>
    </row>
    <row r="178" ht="14.25" customHeight="1">
      <c r="A178" s="2" t="s">
        <v>20</v>
      </c>
      <c r="B178" s="2" t="s">
        <v>382</v>
      </c>
      <c r="C178" s="2" t="s">
        <v>415</v>
      </c>
      <c r="D178" s="2" t="s">
        <v>416</v>
      </c>
      <c r="E178" s="2" t="s">
        <v>417</v>
      </c>
      <c r="F178" s="2" t="s">
        <v>25</v>
      </c>
      <c r="G178" s="2" t="s">
        <v>26</v>
      </c>
      <c r="H178" s="2" t="s">
        <v>27</v>
      </c>
    </row>
    <row r="179" ht="14.25" customHeight="1">
      <c r="A179" s="2" t="s">
        <v>20</v>
      </c>
      <c r="B179" s="2" t="s">
        <v>382</v>
      </c>
      <c r="C179" s="2" t="s">
        <v>415</v>
      </c>
      <c r="D179" s="2" t="s">
        <v>418</v>
      </c>
      <c r="E179" s="2" t="s">
        <v>419</v>
      </c>
      <c r="F179" s="2" t="s">
        <v>25</v>
      </c>
      <c r="G179" s="2" t="s">
        <v>26</v>
      </c>
      <c r="H179" s="2" t="s">
        <v>27</v>
      </c>
    </row>
    <row r="180" ht="14.25" customHeight="1">
      <c r="A180" s="2" t="s">
        <v>20</v>
      </c>
      <c r="B180" s="2" t="s">
        <v>382</v>
      </c>
      <c r="C180" s="2" t="s">
        <v>415</v>
      </c>
      <c r="D180" s="2" t="s">
        <v>420</v>
      </c>
      <c r="E180" s="2" t="s">
        <v>421</v>
      </c>
      <c r="F180" s="2" t="s">
        <v>25</v>
      </c>
      <c r="G180" s="2" t="s">
        <v>26</v>
      </c>
      <c r="H180" s="2" t="s">
        <v>27</v>
      </c>
    </row>
    <row r="181" ht="14.25" customHeight="1">
      <c r="A181" s="2" t="s">
        <v>20</v>
      </c>
      <c r="B181" s="2" t="s">
        <v>382</v>
      </c>
      <c r="C181" s="2" t="s">
        <v>415</v>
      </c>
      <c r="D181" s="2" t="s">
        <v>422</v>
      </c>
      <c r="E181" s="2" t="s">
        <v>423</v>
      </c>
      <c r="F181" s="2" t="s">
        <v>25</v>
      </c>
      <c r="G181" s="2" t="s">
        <v>26</v>
      </c>
      <c r="H181" s="2" t="s">
        <v>27</v>
      </c>
    </row>
    <row r="182" ht="14.25" customHeight="1">
      <c r="A182" s="2" t="s">
        <v>20</v>
      </c>
      <c r="B182" s="2" t="s">
        <v>382</v>
      </c>
      <c r="C182" s="2" t="s">
        <v>415</v>
      </c>
      <c r="D182" s="2" t="s">
        <v>424</v>
      </c>
      <c r="E182" s="2" t="s">
        <v>425</v>
      </c>
      <c r="F182" s="2" t="s">
        <v>25</v>
      </c>
      <c r="G182" s="2" t="s">
        <v>26</v>
      </c>
      <c r="H182" s="2" t="s">
        <v>27</v>
      </c>
    </row>
    <row r="183" ht="14.25" customHeight="1">
      <c r="A183" s="2" t="s">
        <v>20</v>
      </c>
      <c r="B183" s="2" t="s">
        <v>382</v>
      </c>
      <c r="C183" s="2" t="s">
        <v>415</v>
      </c>
      <c r="D183" s="2" t="s">
        <v>426</v>
      </c>
      <c r="E183" s="2" t="s">
        <v>427</v>
      </c>
      <c r="F183" s="2" t="s">
        <v>25</v>
      </c>
      <c r="G183" s="2" t="s">
        <v>26</v>
      </c>
      <c r="H183" s="2" t="s">
        <v>27</v>
      </c>
    </row>
    <row r="184" ht="14.25" customHeight="1">
      <c r="A184" s="2" t="s">
        <v>20</v>
      </c>
      <c r="B184" s="2" t="s">
        <v>382</v>
      </c>
      <c r="C184" s="2" t="s">
        <v>415</v>
      </c>
      <c r="D184" s="2" t="s">
        <v>428</v>
      </c>
      <c r="E184" s="2" t="s">
        <v>429</v>
      </c>
      <c r="F184" s="2" t="s">
        <v>25</v>
      </c>
      <c r="G184" s="2" t="s">
        <v>26</v>
      </c>
      <c r="H184" s="2" t="s">
        <v>27</v>
      </c>
    </row>
    <row r="185" ht="14.25" customHeight="1">
      <c r="A185" s="2" t="s">
        <v>20</v>
      </c>
      <c r="B185" s="2" t="s">
        <v>382</v>
      </c>
      <c r="C185" s="2" t="s">
        <v>415</v>
      </c>
      <c r="D185" s="2" t="s">
        <v>430</v>
      </c>
      <c r="E185" s="2" t="s">
        <v>431</v>
      </c>
      <c r="F185" s="2" t="s">
        <v>25</v>
      </c>
      <c r="G185" s="2" t="s">
        <v>26</v>
      </c>
      <c r="H185" s="2" t="s">
        <v>27</v>
      </c>
    </row>
    <row r="186" ht="14.25" customHeight="1">
      <c r="A186" s="2" t="s">
        <v>20</v>
      </c>
      <c r="B186" s="2" t="s">
        <v>382</v>
      </c>
      <c r="C186" s="2" t="s">
        <v>432</v>
      </c>
      <c r="D186" s="2" t="s">
        <v>433</v>
      </c>
      <c r="E186" s="2" t="s">
        <v>434</v>
      </c>
      <c r="F186" s="2" t="s">
        <v>25</v>
      </c>
      <c r="G186" s="2" t="s">
        <v>26</v>
      </c>
      <c r="H186" s="2" t="s">
        <v>27</v>
      </c>
    </row>
    <row r="187" ht="14.25" customHeight="1">
      <c r="A187" s="2" t="s">
        <v>20</v>
      </c>
      <c r="B187" s="2" t="s">
        <v>382</v>
      </c>
      <c r="C187" s="2" t="s">
        <v>432</v>
      </c>
      <c r="D187" s="2" t="s">
        <v>435</v>
      </c>
      <c r="E187" s="2" t="s">
        <v>436</v>
      </c>
      <c r="F187" s="2" t="s">
        <v>25</v>
      </c>
      <c r="G187" s="2" t="s">
        <v>26</v>
      </c>
      <c r="H187" s="2" t="s">
        <v>27</v>
      </c>
    </row>
    <row r="188" ht="14.25" customHeight="1">
      <c r="A188" s="2" t="s">
        <v>20</v>
      </c>
      <c r="B188" s="2" t="s">
        <v>382</v>
      </c>
      <c r="C188" s="2" t="s">
        <v>432</v>
      </c>
      <c r="D188" s="2" t="s">
        <v>437</v>
      </c>
      <c r="E188" s="2" t="s">
        <v>438</v>
      </c>
      <c r="F188" s="2" t="s">
        <v>25</v>
      </c>
      <c r="G188" s="2" t="s">
        <v>26</v>
      </c>
      <c r="H188" s="2" t="s">
        <v>27</v>
      </c>
    </row>
    <row r="189" ht="14.25" customHeight="1">
      <c r="A189" s="2" t="s">
        <v>20</v>
      </c>
      <c r="B189" s="2" t="s">
        <v>382</v>
      </c>
      <c r="C189" s="2" t="s">
        <v>432</v>
      </c>
      <c r="D189" s="2" t="s">
        <v>439</v>
      </c>
      <c r="E189" s="2" t="s">
        <v>440</v>
      </c>
      <c r="F189" s="2" t="s">
        <v>25</v>
      </c>
      <c r="G189" s="2" t="s">
        <v>26</v>
      </c>
      <c r="H189" s="2" t="s">
        <v>27</v>
      </c>
    </row>
    <row r="190" ht="14.25" customHeight="1">
      <c r="A190" s="2" t="s">
        <v>20</v>
      </c>
      <c r="B190" s="2" t="s">
        <v>382</v>
      </c>
      <c r="C190" s="2" t="s">
        <v>432</v>
      </c>
      <c r="D190" s="2" t="s">
        <v>441</v>
      </c>
      <c r="E190" s="2" t="s">
        <v>442</v>
      </c>
      <c r="F190" s="2" t="s">
        <v>25</v>
      </c>
      <c r="G190" s="2" t="s">
        <v>26</v>
      </c>
      <c r="H190" s="2" t="s">
        <v>27</v>
      </c>
    </row>
    <row r="191" ht="14.25" customHeight="1">
      <c r="A191" s="2" t="s">
        <v>20</v>
      </c>
      <c r="B191" s="2" t="s">
        <v>382</v>
      </c>
      <c r="C191" s="2" t="s">
        <v>432</v>
      </c>
      <c r="D191" s="2" t="s">
        <v>443</v>
      </c>
      <c r="E191" s="2" t="s">
        <v>444</v>
      </c>
      <c r="F191" s="2" t="s">
        <v>25</v>
      </c>
      <c r="G191" s="2" t="s">
        <v>26</v>
      </c>
      <c r="H191" s="2" t="s">
        <v>27</v>
      </c>
    </row>
    <row r="192" ht="14.25" customHeight="1">
      <c r="A192" s="2" t="s">
        <v>20</v>
      </c>
      <c r="B192" s="2" t="s">
        <v>382</v>
      </c>
      <c r="C192" s="2" t="s">
        <v>432</v>
      </c>
      <c r="D192" s="2" t="s">
        <v>445</v>
      </c>
      <c r="E192" s="2" t="s">
        <v>446</v>
      </c>
      <c r="F192" s="2" t="s">
        <v>25</v>
      </c>
      <c r="G192" s="2" t="s">
        <v>26</v>
      </c>
      <c r="H192" s="2" t="s">
        <v>27</v>
      </c>
    </row>
    <row r="193" ht="14.25" customHeight="1">
      <c r="A193" s="2" t="s">
        <v>20</v>
      </c>
      <c r="B193" s="2" t="s">
        <v>382</v>
      </c>
      <c r="C193" s="2" t="s">
        <v>432</v>
      </c>
      <c r="D193" s="2" t="s">
        <v>447</v>
      </c>
      <c r="E193" s="2" t="s">
        <v>448</v>
      </c>
      <c r="F193" s="2" t="s">
        <v>25</v>
      </c>
      <c r="G193" s="2" t="s">
        <v>26</v>
      </c>
      <c r="H193" s="2" t="s">
        <v>27</v>
      </c>
    </row>
    <row r="194" ht="14.25" customHeight="1">
      <c r="A194" s="4" t="s">
        <v>449</v>
      </c>
      <c r="B194" s="4" t="s">
        <v>46</v>
      </c>
      <c r="C194" s="4" t="s">
        <v>450</v>
      </c>
      <c r="D194" s="4" t="s">
        <v>451</v>
      </c>
      <c r="E194" s="4" t="s">
        <v>452</v>
      </c>
      <c r="F194" s="4" t="s">
        <v>25</v>
      </c>
      <c r="G194" s="4" t="s">
        <v>26</v>
      </c>
      <c r="H194" s="4" t="s">
        <v>27</v>
      </c>
    </row>
    <row r="195" ht="14.25" customHeight="1">
      <c r="A195" s="4" t="s">
        <v>449</v>
      </c>
      <c r="B195" s="4" t="s">
        <v>46</v>
      </c>
      <c r="C195" s="4" t="s">
        <v>450</v>
      </c>
      <c r="D195" s="4" t="s">
        <v>453</v>
      </c>
      <c r="E195" s="4" t="s">
        <v>454</v>
      </c>
      <c r="F195" s="4" t="s">
        <v>25</v>
      </c>
      <c r="G195" s="4" t="s">
        <v>26</v>
      </c>
      <c r="H195" s="4" t="s">
        <v>27</v>
      </c>
    </row>
    <row r="196" ht="14.25" customHeight="1">
      <c r="A196" s="4" t="s">
        <v>449</v>
      </c>
      <c r="B196" s="4" t="s">
        <v>46</v>
      </c>
      <c r="C196" s="4" t="s">
        <v>450</v>
      </c>
      <c r="D196" s="4" t="s">
        <v>455</v>
      </c>
      <c r="E196" s="4" t="s">
        <v>456</v>
      </c>
      <c r="F196" s="4" t="s">
        <v>25</v>
      </c>
      <c r="G196" s="4" t="s">
        <v>26</v>
      </c>
      <c r="H196" s="4" t="s">
        <v>27</v>
      </c>
    </row>
    <row r="197" ht="14.25" customHeight="1">
      <c r="A197" s="4" t="s">
        <v>449</v>
      </c>
      <c r="B197" s="4" t="s">
        <v>46</v>
      </c>
      <c r="C197" s="4" t="s">
        <v>450</v>
      </c>
      <c r="D197" s="4" t="s">
        <v>457</v>
      </c>
      <c r="E197" s="4" t="s">
        <v>458</v>
      </c>
      <c r="F197" s="4" t="s">
        <v>25</v>
      </c>
      <c r="G197" s="4" t="s">
        <v>26</v>
      </c>
      <c r="H197" s="4" t="s">
        <v>27</v>
      </c>
    </row>
    <row r="198" ht="14.25" customHeight="1">
      <c r="A198" s="4" t="s">
        <v>449</v>
      </c>
      <c r="B198" s="4" t="s">
        <v>46</v>
      </c>
      <c r="C198" s="4" t="s">
        <v>450</v>
      </c>
      <c r="D198" s="4" t="s">
        <v>459</v>
      </c>
      <c r="E198" s="4" t="s">
        <v>460</v>
      </c>
      <c r="F198" s="4" t="s">
        <v>25</v>
      </c>
      <c r="G198" s="4" t="s">
        <v>26</v>
      </c>
      <c r="H198" s="4" t="s">
        <v>27</v>
      </c>
    </row>
    <row r="199" ht="14.25" customHeight="1">
      <c r="A199" s="4" t="s">
        <v>449</v>
      </c>
      <c r="B199" s="4" t="s">
        <v>46</v>
      </c>
      <c r="C199" s="4" t="s">
        <v>450</v>
      </c>
      <c r="D199" s="4" t="s">
        <v>461</v>
      </c>
      <c r="E199" s="4" t="s">
        <v>462</v>
      </c>
      <c r="F199" s="4" t="s">
        <v>25</v>
      </c>
      <c r="G199" s="4" t="s">
        <v>26</v>
      </c>
      <c r="H199" s="4" t="s">
        <v>27</v>
      </c>
    </row>
    <row r="200" ht="14.25" customHeight="1">
      <c r="A200" s="4" t="s">
        <v>449</v>
      </c>
      <c r="B200" s="4" t="s">
        <v>46</v>
      </c>
      <c r="C200" s="4" t="s">
        <v>450</v>
      </c>
      <c r="D200" s="4" t="s">
        <v>463</v>
      </c>
      <c r="E200" s="4" t="s">
        <v>464</v>
      </c>
      <c r="F200" s="4" t="s">
        <v>25</v>
      </c>
      <c r="G200" s="4" t="s">
        <v>26</v>
      </c>
      <c r="H200" s="4" t="s">
        <v>27</v>
      </c>
    </row>
    <row r="201" ht="14.25" customHeight="1">
      <c r="A201" s="4" t="s">
        <v>449</v>
      </c>
      <c r="B201" s="4" t="s">
        <v>46</v>
      </c>
      <c r="C201" s="4" t="s">
        <v>450</v>
      </c>
      <c r="D201" s="4" t="s">
        <v>338</v>
      </c>
      <c r="E201" s="4" t="s">
        <v>339</v>
      </c>
      <c r="F201" s="4" t="s">
        <v>25</v>
      </c>
      <c r="G201" s="4" t="s">
        <v>26</v>
      </c>
      <c r="H201" s="4" t="s">
        <v>27</v>
      </c>
    </row>
    <row r="202" ht="14.25" customHeight="1">
      <c r="A202" s="4" t="s">
        <v>449</v>
      </c>
      <c r="B202" s="4" t="s">
        <v>46</v>
      </c>
      <c r="C202" s="4" t="s">
        <v>465</v>
      </c>
      <c r="D202" s="4" t="s">
        <v>466</v>
      </c>
      <c r="E202" s="4" t="s">
        <v>467</v>
      </c>
      <c r="F202" s="4" t="s">
        <v>25</v>
      </c>
      <c r="G202" s="4" t="s">
        <v>26</v>
      </c>
      <c r="H202" s="4" t="s">
        <v>27</v>
      </c>
    </row>
    <row r="203" ht="14.25" customHeight="1">
      <c r="A203" s="4" t="s">
        <v>449</v>
      </c>
      <c r="B203" s="4" t="s">
        <v>46</v>
      </c>
      <c r="C203" s="4" t="s">
        <v>465</v>
      </c>
      <c r="D203" s="4" t="s">
        <v>468</v>
      </c>
      <c r="E203" s="4" t="s">
        <v>469</v>
      </c>
      <c r="F203" s="4" t="s">
        <v>25</v>
      </c>
      <c r="G203" s="4" t="s">
        <v>26</v>
      </c>
      <c r="H203" s="4" t="s">
        <v>27</v>
      </c>
    </row>
    <row r="204" ht="14.25" customHeight="1">
      <c r="A204" s="4" t="s">
        <v>449</v>
      </c>
      <c r="B204" s="4" t="s">
        <v>46</v>
      </c>
      <c r="C204" s="4" t="s">
        <v>465</v>
      </c>
      <c r="D204" s="4" t="s">
        <v>470</v>
      </c>
      <c r="E204" s="4" t="s">
        <v>471</v>
      </c>
      <c r="F204" s="4" t="s">
        <v>25</v>
      </c>
      <c r="G204" s="4" t="s">
        <v>26</v>
      </c>
      <c r="H204" s="4" t="s">
        <v>27</v>
      </c>
    </row>
    <row r="205" ht="14.25" customHeight="1">
      <c r="A205" s="4" t="s">
        <v>449</v>
      </c>
      <c r="B205" s="4" t="s">
        <v>46</v>
      </c>
      <c r="C205" s="4" t="s">
        <v>465</v>
      </c>
      <c r="D205" s="4" t="s">
        <v>472</v>
      </c>
      <c r="E205" s="4" t="s">
        <v>473</v>
      </c>
      <c r="F205" s="4" t="s">
        <v>25</v>
      </c>
      <c r="G205" s="4" t="s">
        <v>26</v>
      </c>
      <c r="H205" s="4" t="s">
        <v>27</v>
      </c>
    </row>
    <row r="206" ht="14.25" customHeight="1">
      <c r="A206" s="4" t="s">
        <v>449</v>
      </c>
      <c r="B206" s="4" t="s">
        <v>46</v>
      </c>
      <c r="C206" s="4" t="s">
        <v>465</v>
      </c>
      <c r="D206" s="4" t="s">
        <v>474</v>
      </c>
      <c r="E206" s="4" t="s">
        <v>475</v>
      </c>
      <c r="F206" s="4" t="s">
        <v>25</v>
      </c>
      <c r="G206" s="4" t="s">
        <v>26</v>
      </c>
      <c r="H206" s="4" t="s">
        <v>27</v>
      </c>
    </row>
    <row r="207" ht="14.25" customHeight="1">
      <c r="A207" s="4" t="s">
        <v>449</v>
      </c>
      <c r="B207" s="4" t="s">
        <v>46</v>
      </c>
      <c r="C207" s="4" t="s">
        <v>465</v>
      </c>
      <c r="D207" s="4" t="s">
        <v>476</v>
      </c>
      <c r="E207" s="4" t="s">
        <v>477</v>
      </c>
      <c r="F207" s="4" t="s">
        <v>25</v>
      </c>
      <c r="G207" s="4" t="s">
        <v>26</v>
      </c>
      <c r="H207" s="4" t="s">
        <v>27</v>
      </c>
    </row>
    <row r="208" ht="14.25" customHeight="1">
      <c r="A208" s="4" t="s">
        <v>449</v>
      </c>
      <c r="B208" s="4" t="s">
        <v>46</v>
      </c>
      <c r="C208" s="4" t="s">
        <v>465</v>
      </c>
      <c r="D208" s="4" t="s">
        <v>478</v>
      </c>
      <c r="E208" s="4" t="s">
        <v>479</v>
      </c>
      <c r="F208" s="4" t="s">
        <v>25</v>
      </c>
      <c r="G208" s="4" t="s">
        <v>26</v>
      </c>
      <c r="H208" s="4" t="s">
        <v>27</v>
      </c>
    </row>
    <row r="209" ht="14.25" customHeight="1">
      <c r="A209" s="4" t="s">
        <v>449</v>
      </c>
      <c r="B209" s="4" t="s">
        <v>46</v>
      </c>
      <c r="C209" s="4" t="s">
        <v>465</v>
      </c>
      <c r="D209" s="4" t="s">
        <v>480</v>
      </c>
      <c r="E209" s="4" t="s">
        <v>481</v>
      </c>
      <c r="F209" s="4" t="s">
        <v>25</v>
      </c>
      <c r="G209" s="4" t="s">
        <v>26</v>
      </c>
      <c r="H209" s="4" t="s">
        <v>27</v>
      </c>
    </row>
    <row r="210" ht="14.25" customHeight="1">
      <c r="A210" s="4" t="s">
        <v>449</v>
      </c>
      <c r="B210" s="4" t="s">
        <v>49</v>
      </c>
      <c r="C210" s="4" t="s">
        <v>482</v>
      </c>
      <c r="D210" s="4" t="s">
        <v>483</v>
      </c>
      <c r="E210" s="4" t="s">
        <v>484</v>
      </c>
      <c r="F210" s="4" t="s">
        <v>25</v>
      </c>
      <c r="G210" s="4" t="s">
        <v>26</v>
      </c>
      <c r="H210" s="4" t="s">
        <v>27</v>
      </c>
    </row>
    <row r="211" ht="14.25" customHeight="1">
      <c r="A211" s="4" t="s">
        <v>449</v>
      </c>
      <c r="B211" s="4" t="s">
        <v>49</v>
      </c>
      <c r="C211" s="4" t="s">
        <v>482</v>
      </c>
      <c r="D211" s="4" t="s">
        <v>485</v>
      </c>
      <c r="E211" s="4" t="s">
        <v>486</v>
      </c>
      <c r="F211" s="4" t="s">
        <v>25</v>
      </c>
      <c r="G211" s="4" t="s">
        <v>26</v>
      </c>
      <c r="H211" s="4" t="s">
        <v>27</v>
      </c>
    </row>
    <row r="212" ht="14.25" customHeight="1">
      <c r="A212" s="4" t="s">
        <v>449</v>
      </c>
      <c r="B212" s="4" t="s">
        <v>49</v>
      </c>
      <c r="C212" s="4" t="s">
        <v>482</v>
      </c>
      <c r="D212" s="4" t="s">
        <v>487</v>
      </c>
      <c r="E212" s="4" t="s">
        <v>488</v>
      </c>
      <c r="F212" s="4" t="s">
        <v>25</v>
      </c>
      <c r="G212" s="4" t="s">
        <v>26</v>
      </c>
      <c r="H212" s="4" t="s">
        <v>27</v>
      </c>
    </row>
    <row r="213" ht="14.25" customHeight="1">
      <c r="A213" s="4" t="s">
        <v>449</v>
      </c>
      <c r="B213" s="4" t="s">
        <v>49</v>
      </c>
      <c r="C213" s="4" t="s">
        <v>482</v>
      </c>
      <c r="D213" s="4" t="s">
        <v>489</v>
      </c>
      <c r="E213" s="4" t="s">
        <v>490</v>
      </c>
      <c r="F213" s="4" t="s">
        <v>25</v>
      </c>
      <c r="G213" s="4" t="s">
        <v>26</v>
      </c>
      <c r="H213" s="4" t="s">
        <v>27</v>
      </c>
    </row>
    <row r="214" ht="14.25" customHeight="1">
      <c r="A214" s="4" t="s">
        <v>449</v>
      </c>
      <c r="B214" s="4" t="s">
        <v>49</v>
      </c>
      <c r="C214" s="4" t="s">
        <v>482</v>
      </c>
      <c r="D214" s="4" t="s">
        <v>491</v>
      </c>
      <c r="E214" s="4" t="s">
        <v>492</v>
      </c>
      <c r="F214" s="4" t="s">
        <v>25</v>
      </c>
      <c r="G214" s="4" t="s">
        <v>26</v>
      </c>
      <c r="H214" s="4" t="s">
        <v>27</v>
      </c>
    </row>
    <row r="215" ht="14.25" customHeight="1">
      <c r="A215" s="4" t="s">
        <v>449</v>
      </c>
      <c r="B215" s="4" t="s">
        <v>49</v>
      </c>
      <c r="C215" s="4" t="s">
        <v>482</v>
      </c>
      <c r="D215" s="4" t="s">
        <v>493</v>
      </c>
      <c r="E215" s="4" t="s">
        <v>494</v>
      </c>
      <c r="F215" s="4" t="s">
        <v>25</v>
      </c>
      <c r="G215" s="4" t="s">
        <v>26</v>
      </c>
      <c r="H215" s="4" t="s">
        <v>27</v>
      </c>
    </row>
    <row r="216" ht="14.25" customHeight="1">
      <c r="A216" s="4" t="s">
        <v>449</v>
      </c>
      <c r="B216" s="4" t="s">
        <v>49</v>
      </c>
      <c r="C216" s="4" t="s">
        <v>482</v>
      </c>
      <c r="D216" s="4" t="s">
        <v>156</v>
      </c>
      <c r="E216" s="4" t="s">
        <v>157</v>
      </c>
      <c r="F216" s="4" t="s">
        <v>25</v>
      </c>
      <c r="G216" s="4" t="s">
        <v>26</v>
      </c>
      <c r="H216" s="4" t="s">
        <v>27</v>
      </c>
    </row>
    <row r="217" ht="14.25" customHeight="1">
      <c r="A217" s="4" t="s">
        <v>449</v>
      </c>
      <c r="B217" s="4" t="s">
        <v>49</v>
      </c>
      <c r="C217" s="4" t="s">
        <v>482</v>
      </c>
      <c r="D217" s="4" t="s">
        <v>495</v>
      </c>
      <c r="E217" s="4" t="s">
        <v>496</v>
      </c>
      <c r="F217" s="4" t="s">
        <v>25</v>
      </c>
      <c r="G217" s="4" t="s">
        <v>26</v>
      </c>
      <c r="H217" s="4" t="s">
        <v>27</v>
      </c>
    </row>
    <row r="218" ht="14.25" customHeight="1">
      <c r="A218" s="4" t="s">
        <v>449</v>
      </c>
      <c r="B218" s="4" t="s">
        <v>49</v>
      </c>
      <c r="C218" s="4" t="s">
        <v>497</v>
      </c>
      <c r="D218" s="4" t="s">
        <v>161</v>
      </c>
      <c r="E218" s="4" t="s">
        <v>162</v>
      </c>
      <c r="F218" s="4" t="s">
        <v>25</v>
      </c>
      <c r="G218" s="4" t="s">
        <v>26</v>
      </c>
      <c r="H218" s="4" t="s">
        <v>27</v>
      </c>
    </row>
    <row r="219" ht="14.25" customHeight="1">
      <c r="A219" s="4" t="s">
        <v>449</v>
      </c>
      <c r="B219" s="4" t="s">
        <v>49</v>
      </c>
      <c r="C219" s="4" t="s">
        <v>497</v>
      </c>
      <c r="D219" s="4" t="s">
        <v>498</v>
      </c>
      <c r="E219" s="4" t="s">
        <v>499</v>
      </c>
      <c r="F219" s="4" t="s">
        <v>25</v>
      </c>
      <c r="G219" s="4" t="s">
        <v>26</v>
      </c>
      <c r="H219" s="4" t="s">
        <v>27</v>
      </c>
    </row>
    <row r="220" ht="14.25" customHeight="1">
      <c r="A220" s="4" t="s">
        <v>449</v>
      </c>
      <c r="B220" s="4" t="s">
        <v>49</v>
      </c>
      <c r="C220" s="4" t="s">
        <v>497</v>
      </c>
      <c r="D220" s="4" t="s">
        <v>500</v>
      </c>
      <c r="E220" s="4" t="s">
        <v>501</v>
      </c>
      <c r="F220" s="4" t="s">
        <v>25</v>
      </c>
      <c r="G220" s="4" t="s">
        <v>26</v>
      </c>
      <c r="H220" s="4" t="s">
        <v>27</v>
      </c>
    </row>
    <row r="221" ht="14.25" customHeight="1">
      <c r="A221" s="4" t="s">
        <v>449</v>
      </c>
      <c r="B221" s="4" t="s">
        <v>49</v>
      </c>
      <c r="C221" s="4" t="s">
        <v>497</v>
      </c>
      <c r="D221" s="4" t="s">
        <v>502</v>
      </c>
      <c r="E221" s="4" t="s">
        <v>503</v>
      </c>
      <c r="F221" s="4" t="s">
        <v>25</v>
      </c>
      <c r="G221" s="4" t="s">
        <v>26</v>
      </c>
      <c r="H221" s="4" t="s">
        <v>27</v>
      </c>
    </row>
    <row r="222" ht="14.25" customHeight="1">
      <c r="A222" s="4" t="s">
        <v>449</v>
      </c>
      <c r="B222" s="4" t="s">
        <v>49</v>
      </c>
      <c r="C222" s="4" t="s">
        <v>497</v>
      </c>
      <c r="D222" s="4" t="s">
        <v>504</v>
      </c>
      <c r="E222" s="4" t="s">
        <v>505</v>
      </c>
      <c r="F222" s="4" t="s">
        <v>25</v>
      </c>
      <c r="G222" s="4" t="s">
        <v>26</v>
      </c>
      <c r="H222" s="4" t="s">
        <v>27</v>
      </c>
    </row>
    <row r="223" ht="14.25" customHeight="1">
      <c r="A223" s="4" t="s">
        <v>449</v>
      </c>
      <c r="B223" s="4" t="s">
        <v>49</v>
      </c>
      <c r="C223" s="4" t="s">
        <v>497</v>
      </c>
      <c r="D223" s="4" t="s">
        <v>506</v>
      </c>
      <c r="E223" s="4" t="s">
        <v>507</v>
      </c>
      <c r="F223" s="4" t="s">
        <v>25</v>
      </c>
      <c r="G223" s="4" t="s">
        <v>26</v>
      </c>
      <c r="H223" s="4" t="s">
        <v>27</v>
      </c>
    </row>
    <row r="224" ht="14.25" customHeight="1">
      <c r="A224" s="4" t="s">
        <v>449</v>
      </c>
      <c r="B224" s="4" t="s">
        <v>49</v>
      </c>
      <c r="C224" s="4" t="s">
        <v>497</v>
      </c>
      <c r="D224" s="4" t="s">
        <v>508</v>
      </c>
      <c r="E224" s="4" t="s">
        <v>509</v>
      </c>
      <c r="F224" s="4" t="s">
        <v>25</v>
      </c>
      <c r="G224" s="4" t="s">
        <v>26</v>
      </c>
      <c r="H224" s="4" t="s">
        <v>27</v>
      </c>
    </row>
    <row r="225" ht="14.25" customHeight="1">
      <c r="A225" s="4" t="s">
        <v>449</v>
      </c>
      <c r="B225" s="4" t="s">
        <v>49</v>
      </c>
      <c r="C225" s="4" t="s">
        <v>497</v>
      </c>
      <c r="D225" s="4" t="s">
        <v>510</v>
      </c>
      <c r="E225" s="4" t="s">
        <v>511</v>
      </c>
      <c r="F225" s="4" t="s">
        <v>25</v>
      </c>
      <c r="G225" s="4" t="s">
        <v>26</v>
      </c>
      <c r="H225" s="4" t="s">
        <v>27</v>
      </c>
    </row>
    <row r="226" ht="14.25" customHeight="1">
      <c r="A226" s="4" t="s">
        <v>449</v>
      </c>
      <c r="B226" s="4" t="s">
        <v>49</v>
      </c>
      <c r="C226" s="4" t="s">
        <v>512</v>
      </c>
      <c r="D226" s="4" t="s">
        <v>513</v>
      </c>
      <c r="E226" s="4" t="s">
        <v>514</v>
      </c>
      <c r="F226" s="4" t="s">
        <v>25</v>
      </c>
      <c r="G226" s="4" t="s">
        <v>26</v>
      </c>
      <c r="H226" s="4" t="s">
        <v>27</v>
      </c>
    </row>
    <row r="227" ht="14.25" customHeight="1">
      <c r="A227" s="4" t="s">
        <v>449</v>
      </c>
      <c r="B227" s="4" t="s">
        <v>49</v>
      </c>
      <c r="C227" s="4" t="s">
        <v>512</v>
      </c>
      <c r="D227" s="4" t="s">
        <v>515</v>
      </c>
      <c r="E227" s="4" t="s">
        <v>516</v>
      </c>
      <c r="F227" s="4" t="s">
        <v>25</v>
      </c>
      <c r="G227" s="4" t="s">
        <v>26</v>
      </c>
      <c r="H227" s="4" t="s">
        <v>27</v>
      </c>
    </row>
    <row r="228" ht="14.25" customHeight="1">
      <c r="A228" s="4" t="s">
        <v>449</v>
      </c>
      <c r="B228" s="4" t="s">
        <v>49</v>
      </c>
      <c r="C228" s="4" t="s">
        <v>512</v>
      </c>
      <c r="D228" s="4" t="s">
        <v>517</v>
      </c>
      <c r="E228" s="4" t="s">
        <v>518</v>
      </c>
      <c r="F228" s="4" t="s">
        <v>25</v>
      </c>
      <c r="G228" s="4" t="s">
        <v>26</v>
      </c>
      <c r="H228" s="4" t="s">
        <v>27</v>
      </c>
    </row>
    <row r="229" ht="14.25" customHeight="1">
      <c r="A229" s="4" t="s">
        <v>449</v>
      </c>
      <c r="B229" s="4" t="s">
        <v>49</v>
      </c>
      <c r="C229" s="4" t="s">
        <v>512</v>
      </c>
      <c r="D229" s="4" t="s">
        <v>519</v>
      </c>
      <c r="E229" s="4" t="s">
        <v>520</v>
      </c>
      <c r="F229" s="4" t="s">
        <v>25</v>
      </c>
      <c r="G229" s="4" t="s">
        <v>26</v>
      </c>
      <c r="H229" s="4" t="s">
        <v>27</v>
      </c>
    </row>
    <row r="230" ht="14.25" customHeight="1">
      <c r="A230" s="4" t="s">
        <v>449</v>
      </c>
      <c r="B230" s="4" t="s">
        <v>49</v>
      </c>
      <c r="C230" s="4" t="s">
        <v>512</v>
      </c>
      <c r="D230" s="4" t="s">
        <v>342</v>
      </c>
      <c r="E230" s="4" t="s">
        <v>521</v>
      </c>
      <c r="F230" s="4" t="s">
        <v>25</v>
      </c>
      <c r="G230" s="4" t="s">
        <v>26</v>
      </c>
      <c r="H230" s="4" t="s">
        <v>27</v>
      </c>
    </row>
    <row r="231" ht="14.25" customHeight="1">
      <c r="A231" s="4" t="s">
        <v>449</v>
      </c>
      <c r="B231" s="4" t="s">
        <v>49</v>
      </c>
      <c r="C231" s="4" t="s">
        <v>512</v>
      </c>
      <c r="D231" s="4" t="s">
        <v>522</v>
      </c>
      <c r="E231" s="4" t="s">
        <v>523</v>
      </c>
      <c r="F231" s="4" t="s">
        <v>25</v>
      </c>
      <c r="G231" s="4" t="s">
        <v>26</v>
      </c>
      <c r="H231" s="4" t="s">
        <v>27</v>
      </c>
    </row>
    <row r="232" ht="14.25" customHeight="1">
      <c r="A232" s="4" t="s">
        <v>449</v>
      </c>
      <c r="B232" s="4" t="s">
        <v>49</v>
      </c>
      <c r="C232" s="4" t="s">
        <v>512</v>
      </c>
      <c r="D232" s="4" t="s">
        <v>524</v>
      </c>
      <c r="E232" s="4" t="s">
        <v>525</v>
      </c>
      <c r="F232" s="4" t="s">
        <v>25</v>
      </c>
      <c r="G232" s="4" t="s">
        <v>26</v>
      </c>
      <c r="H232" s="4" t="s">
        <v>27</v>
      </c>
    </row>
    <row r="233" ht="14.25" customHeight="1">
      <c r="A233" s="4" t="s">
        <v>449</v>
      </c>
      <c r="B233" s="4" t="s">
        <v>49</v>
      </c>
      <c r="C233" s="4" t="s">
        <v>512</v>
      </c>
      <c r="D233" s="4" t="s">
        <v>372</v>
      </c>
      <c r="E233" s="4" t="s">
        <v>373</v>
      </c>
      <c r="F233" s="4" t="s">
        <v>25</v>
      </c>
      <c r="G233" s="4" t="s">
        <v>26</v>
      </c>
      <c r="H233" s="4" t="s">
        <v>27</v>
      </c>
    </row>
    <row r="234" ht="14.25" customHeight="1">
      <c r="A234" s="4" t="s">
        <v>449</v>
      </c>
      <c r="B234" s="4" t="s">
        <v>53</v>
      </c>
      <c r="C234" s="4" t="s">
        <v>526</v>
      </c>
      <c r="D234" s="4" t="s">
        <v>527</v>
      </c>
      <c r="E234" s="4" t="s">
        <v>528</v>
      </c>
      <c r="F234" s="4" t="s">
        <v>25</v>
      </c>
      <c r="G234" s="4" t="s">
        <v>26</v>
      </c>
      <c r="H234" s="4" t="s">
        <v>27</v>
      </c>
    </row>
    <row r="235" ht="14.25" customHeight="1">
      <c r="A235" s="4" t="s">
        <v>449</v>
      </c>
      <c r="B235" s="4" t="s">
        <v>53</v>
      </c>
      <c r="C235" s="4" t="s">
        <v>526</v>
      </c>
      <c r="D235" s="4" t="s">
        <v>529</v>
      </c>
      <c r="E235" s="4" t="s">
        <v>530</v>
      </c>
      <c r="F235" s="4" t="s">
        <v>25</v>
      </c>
      <c r="G235" s="4" t="s">
        <v>26</v>
      </c>
      <c r="H235" s="4" t="s">
        <v>27</v>
      </c>
    </row>
    <row r="236" ht="14.25" customHeight="1">
      <c r="A236" s="4" t="s">
        <v>449</v>
      </c>
      <c r="B236" s="4" t="s">
        <v>53</v>
      </c>
      <c r="C236" s="4" t="s">
        <v>526</v>
      </c>
      <c r="D236" s="4" t="s">
        <v>325</v>
      </c>
      <c r="E236" s="4" t="s">
        <v>326</v>
      </c>
      <c r="F236" s="4" t="s">
        <v>25</v>
      </c>
      <c r="G236" s="4" t="s">
        <v>26</v>
      </c>
      <c r="H236" s="4" t="s">
        <v>27</v>
      </c>
    </row>
    <row r="237" ht="14.25" customHeight="1">
      <c r="A237" s="4" t="s">
        <v>449</v>
      </c>
      <c r="B237" s="4" t="s">
        <v>53</v>
      </c>
      <c r="C237" s="4" t="s">
        <v>526</v>
      </c>
      <c r="D237" s="4" t="s">
        <v>531</v>
      </c>
      <c r="E237" s="4" t="s">
        <v>532</v>
      </c>
      <c r="F237" s="4" t="s">
        <v>25</v>
      </c>
      <c r="G237" s="4" t="s">
        <v>26</v>
      </c>
      <c r="H237" s="4" t="s">
        <v>27</v>
      </c>
    </row>
    <row r="238" ht="14.25" customHeight="1">
      <c r="A238" s="4" t="s">
        <v>449</v>
      </c>
      <c r="B238" s="4" t="s">
        <v>53</v>
      </c>
      <c r="C238" s="4" t="s">
        <v>526</v>
      </c>
      <c r="D238" s="4" t="s">
        <v>533</v>
      </c>
      <c r="E238" s="4" t="s">
        <v>245</v>
      </c>
      <c r="F238" s="4" t="s">
        <v>25</v>
      </c>
      <c r="G238" s="4" t="s">
        <v>26</v>
      </c>
      <c r="H238" s="4" t="s">
        <v>27</v>
      </c>
    </row>
    <row r="239" ht="14.25" customHeight="1">
      <c r="A239" s="4" t="s">
        <v>449</v>
      </c>
      <c r="B239" s="4" t="s">
        <v>53</v>
      </c>
      <c r="C239" s="4" t="s">
        <v>526</v>
      </c>
      <c r="D239" s="4" t="s">
        <v>534</v>
      </c>
      <c r="E239" s="4" t="s">
        <v>535</v>
      </c>
      <c r="F239" s="4" t="s">
        <v>25</v>
      </c>
      <c r="G239" s="4" t="s">
        <v>26</v>
      </c>
      <c r="H239" s="4" t="s">
        <v>27</v>
      </c>
    </row>
    <row r="240" ht="14.25" customHeight="1">
      <c r="A240" s="4" t="s">
        <v>449</v>
      </c>
      <c r="B240" s="4" t="s">
        <v>53</v>
      </c>
      <c r="C240" s="4" t="s">
        <v>526</v>
      </c>
      <c r="D240" s="4" t="s">
        <v>536</v>
      </c>
      <c r="E240" s="4" t="s">
        <v>537</v>
      </c>
      <c r="F240" s="4" t="s">
        <v>25</v>
      </c>
      <c r="G240" s="4" t="s">
        <v>26</v>
      </c>
      <c r="H240" s="4" t="s">
        <v>27</v>
      </c>
    </row>
    <row r="241" ht="14.25" customHeight="1">
      <c r="A241" s="4" t="s">
        <v>449</v>
      </c>
      <c r="B241" s="4" t="s">
        <v>53</v>
      </c>
      <c r="C241" s="4" t="s">
        <v>526</v>
      </c>
      <c r="D241" s="4" t="s">
        <v>538</v>
      </c>
      <c r="E241" s="4" t="s">
        <v>539</v>
      </c>
      <c r="F241" s="4" t="s">
        <v>25</v>
      </c>
      <c r="G241" s="4" t="s">
        <v>26</v>
      </c>
      <c r="H241" s="4" t="s">
        <v>27</v>
      </c>
    </row>
    <row r="242" ht="14.25" customHeight="1">
      <c r="A242" s="4" t="s">
        <v>449</v>
      </c>
      <c r="B242" s="4" t="s">
        <v>53</v>
      </c>
      <c r="C242" s="4" t="s">
        <v>540</v>
      </c>
      <c r="D242" s="4" t="s">
        <v>541</v>
      </c>
      <c r="E242" s="4" t="s">
        <v>542</v>
      </c>
      <c r="F242" s="4" t="s">
        <v>25</v>
      </c>
      <c r="G242" s="4" t="s">
        <v>26</v>
      </c>
      <c r="H242" s="4" t="s">
        <v>27</v>
      </c>
    </row>
    <row r="243" ht="14.25" customHeight="1">
      <c r="A243" s="4" t="s">
        <v>449</v>
      </c>
      <c r="B243" s="4" t="s">
        <v>53</v>
      </c>
      <c r="C243" s="4" t="s">
        <v>540</v>
      </c>
      <c r="D243" s="4" t="s">
        <v>543</v>
      </c>
      <c r="E243" s="4" t="s">
        <v>544</v>
      </c>
      <c r="F243" s="4" t="s">
        <v>25</v>
      </c>
      <c r="G243" s="4" t="s">
        <v>26</v>
      </c>
      <c r="H243" s="4" t="s">
        <v>27</v>
      </c>
    </row>
    <row r="244" ht="14.25" customHeight="1">
      <c r="A244" s="4" t="s">
        <v>449</v>
      </c>
      <c r="B244" s="4" t="s">
        <v>53</v>
      </c>
      <c r="C244" s="4" t="s">
        <v>540</v>
      </c>
      <c r="D244" s="4" t="s">
        <v>545</v>
      </c>
      <c r="E244" s="4" t="s">
        <v>546</v>
      </c>
      <c r="F244" s="4" t="s">
        <v>25</v>
      </c>
      <c r="G244" s="4" t="s">
        <v>26</v>
      </c>
      <c r="H244" s="4" t="s">
        <v>27</v>
      </c>
    </row>
    <row r="245" ht="14.25" customHeight="1">
      <c r="A245" s="4" t="s">
        <v>449</v>
      </c>
      <c r="B245" s="4" t="s">
        <v>53</v>
      </c>
      <c r="C245" s="4" t="s">
        <v>540</v>
      </c>
      <c r="D245" s="4" t="s">
        <v>547</v>
      </c>
      <c r="E245" s="4" t="s">
        <v>367</v>
      </c>
      <c r="F245" s="4" t="s">
        <v>25</v>
      </c>
      <c r="G245" s="4" t="s">
        <v>26</v>
      </c>
      <c r="H245" s="4" t="s">
        <v>27</v>
      </c>
    </row>
    <row r="246" ht="14.25" customHeight="1">
      <c r="A246" s="4" t="s">
        <v>449</v>
      </c>
      <c r="B246" s="4" t="s">
        <v>53</v>
      </c>
      <c r="C246" s="4" t="s">
        <v>540</v>
      </c>
      <c r="D246" s="4" t="s">
        <v>548</v>
      </c>
      <c r="E246" s="4" t="s">
        <v>549</v>
      </c>
      <c r="F246" s="4" t="s">
        <v>25</v>
      </c>
      <c r="G246" s="4" t="s">
        <v>26</v>
      </c>
      <c r="H246" s="4" t="s">
        <v>27</v>
      </c>
    </row>
    <row r="247" ht="14.25" customHeight="1">
      <c r="A247" s="4" t="s">
        <v>449</v>
      </c>
      <c r="B247" s="4" t="s">
        <v>53</v>
      </c>
      <c r="C247" s="4" t="s">
        <v>540</v>
      </c>
      <c r="D247" s="4" t="s">
        <v>550</v>
      </c>
      <c r="E247" s="4" t="s">
        <v>551</v>
      </c>
      <c r="F247" s="4" t="s">
        <v>25</v>
      </c>
      <c r="G247" s="4" t="s">
        <v>26</v>
      </c>
      <c r="H247" s="4" t="s">
        <v>27</v>
      </c>
    </row>
    <row r="248" ht="14.25" customHeight="1">
      <c r="A248" s="4" t="s">
        <v>449</v>
      </c>
      <c r="B248" s="4" t="s">
        <v>53</v>
      </c>
      <c r="C248" s="4" t="s">
        <v>540</v>
      </c>
      <c r="D248" s="4" t="s">
        <v>552</v>
      </c>
      <c r="E248" s="4" t="s">
        <v>553</v>
      </c>
      <c r="F248" s="4" t="s">
        <v>25</v>
      </c>
      <c r="G248" s="4" t="s">
        <v>26</v>
      </c>
      <c r="H248" s="4" t="s">
        <v>27</v>
      </c>
    </row>
    <row r="249" ht="14.25" customHeight="1">
      <c r="A249" s="4" t="s">
        <v>449</v>
      </c>
      <c r="B249" s="4" t="s">
        <v>53</v>
      </c>
      <c r="C249" s="4" t="s">
        <v>540</v>
      </c>
      <c r="D249" s="4" t="s">
        <v>554</v>
      </c>
      <c r="E249" s="4" t="s">
        <v>555</v>
      </c>
      <c r="F249" s="4" t="s">
        <v>25</v>
      </c>
      <c r="G249" s="4" t="s">
        <v>26</v>
      </c>
      <c r="H249" s="4" t="s">
        <v>27</v>
      </c>
    </row>
    <row r="250" ht="14.25" customHeight="1">
      <c r="A250" s="4" t="s">
        <v>449</v>
      </c>
      <c r="B250" s="4" t="s">
        <v>53</v>
      </c>
      <c r="C250" s="4" t="s">
        <v>556</v>
      </c>
      <c r="D250" s="4" t="s">
        <v>557</v>
      </c>
      <c r="E250" s="4" t="s">
        <v>558</v>
      </c>
      <c r="F250" s="4" t="s">
        <v>25</v>
      </c>
      <c r="G250" s="4" t="s">
        <v>26</v>
      </c>
      <c r="H250" s="4" t="s">
        <v>27</v>
      </c>
    </row>
    <row r="251" ht="14.25" customHeight="1">
      <c r="A251" s="4" t="s">
        <v>449</v>
      </c>
      <c r="B251" s="4" t="s">
        <v>53</v>
      </c>
      <c r="C251" s="4" t="s">
        <v>556</v>
      </c>
      <c r="D251" s="4" t="s">
        <v>559</v>
      </c>
      <c r="E251" s="4" t="s">
        <v>560</v>
      </c>
      <c r="F251" s="4" t="s">
        <v>25</v>
      </c>
      <c r="G251" s="4" t="s">
        <v>26</v>
      </c>
      <c r="H251" s="4" t="s">
        <v>27</v>
      </c>
    </row>
    <row r="252" ht="14.25" customHeight="1">
      <c r="A252" s="4" t="s">
        <v>449</v>
      </c>
      <c r="B252" s="4" t="s">
        <v>53</v>
      </c>
      <c r="C252" s="4" t="s">
        <v>556</v>
      </c>
      <c r="D252" s="4" t="s">
        <v>561</v>
      </c>
      <c r="E252" s="4" t="s">
        <v>562</v>
      </c>
      <c r="F252" s="4" t="s">
        <v>25</v>
      </c>
      <c r="G252" s="4" t="s">
        <v>26</v>
      </c>
      <c r="H252" s="4" t="s">
        <v>27</v>
      </c>
    </row>
    <row r="253" ht="14.25" customHeight="1">
      <c r="A253" s="4" t="s">
        <v>449</v>
      </c>
      <c r="B253" s="4" t="s">
        <v>53</v>
      </c>
      <c r="C253" s="4" t="s">
        <v>556</v>
      </c>
      <c r="D253" s="4" t="s">
        <v>563</v>
      </c>
      <c r="E253" s="4" t="s">
        <v>564</v>
      </c>
      <c r="F253" s="4" t="s">
        <v>25</v>
      </c>
      <c r="G253" s="4" t="s">
        <v>26</v>
      </c>
      <c r="H253" s="4" t="s">
        <v>27</v>
      </c>
    </row>
    <row r="254" ht="14.25" customHeight="1">
      <c r="A254" s="4" t="s">
        <v>449</v>
      </c>
      <c r="B254" s="4" t="s">
        <v>53</v>
      </c>
      <c r="C254" s="4" t="s">
        <v>556</v>
      </c>
      <c r="D254" s="4" t="s">
        <v>565</v>
      </c>
      <c r="E254" s="4" t="s">
        <v>566</v>
      </c>
      <c r="F254" s="4" t="s">
        <v>25</v>
      </c>
      <c r="G254" s="4" t="s">
        <v>26</v>
      </c>
      <c r="H254" s="4" t="s">
        <v>27</v>
      </c>
    </row>
    <row r="255" ht="14.25" customHeight="1">
      <c r="A255" s="4" t="s">
        <v>449</v>
      </c>
      <c r="B255" s="4" t="s">
        <v>53</v>
      </c>
      <c r="C255" s="4" t="s">
        <v>556</v>
      </c>
      <c r="D255" s="4" t="s">
        <v>567</v>
      </c>
      <c r="E255" s="4" t="s">
        <v>568</v>
      </c>
      <c r="F255" s="4" t="s">
        <v>25</v>
      </c>
      <c r="G255" s="4" t="s">
        <v>26</v>
      </c>
      <c r="H255" s="4" t="s">
        <v>27</v>
      </c>
    </row>
    <row r="256" ht="14.25" customHeight="1">
      <c r="A256" s="4" t="s">
        <v>449</v>
      </c>
      <c r="B256" s="4" t="s">
        <v>53</v>
      </c>
      <c r="C256" s="4" t="s">
        <v>556</v>
      </c>
      <c r="D256" s="4" t="s">
        <v>569</v>
      </c>
      <c r="E256" s="4" t="s">
        <v>570</v>
      </c>
      <c r="F256" s="4" t="s">
        <v>25</v>
      </c>
      <c r="G256" s="4" t="s">
        <v>26</v>
      </c>
      <c r="H256" s="4" t="s">
        <v>27</v>
      </c>
    </row>
    <row r="257" ht="14.25" customHeight="1">
      <c r="A257" s="4" t="s">
        <v>449</v>
      </c>
      <c r="B257" s="4" t="s">
        <v>53</v>
      </c>
      <c r="C257" s="4" t="s">
        <v>556</v>
      </c>
      <c r="D257" s="4" t="s">
        <v>571</v>
      </c>
      <c r="E257" s="4" t="s">
        <v>572</v>
      </c>
      <c r="F257" s="4" t="s">
        <v>25</v>
      </c>
      <c r="G257" s="4" t="s">
        <v>26</v>
      </c>
      <c r="H257" s="4" t="s">
        <v>27</v>
      </c>
    </row>
    <row r="258" ht="14.25" customHeight="1">
      <c r="A258" s="4" t="s">
        <v>449</v>
      </c>
      <c r="B258" s="4" t="s">
        <v>56</v>
      </c>
      <c r="C258" s="4" t="s">
        <v>573</v>
      </c>
      <c r="D258" s="4" t="s">
        <v>574</v>
      </c>
      <c r="E258" s="4" t="s">
        <v>575</v>
      </c>
      <c r="F258" s="4" t="s">
        <v>25</v>
      </c>
      <c r="G258" s="4" t="s">
        <v>26</v>
      </c>
      <c r="H258" s="4" t="s">
        <v>27</v>
      </c>
    </row>
    <row r="259" ht="14.25" customHeight="1">
      <c r="A259" s="4" t="s">
        <v>449</v>
      </c>
      <c r="B259" s="4" t="s">
        <v>56</v>
      </c>
      <c r="C259" s="4" t="s">
        <v>573</v>
      </c>
      <c r="D259" s="4" t="s">
        <v>576</v>
      </c>
      <c r="E259" s="4" t="s">
        <v>577</v>
      </c>
      <c r="F259" s="4" t="s">
        <v>25</v>
      </c>
      <c r="G259" s="4" t="s">
        <v>26</v>
      </c>
      <c r="H259" s="4" t="s">
        <v>27</v>
      </c>
    </row>
    <row r="260" ht="14.25" customHeight="1">
      <c r="A260" s="4" t="s">
        <v>449</v>
      </c>
      <c r="B260" s="4" t="s">
        <v>56</v>
      </c>
      <c r="C260" s="4" t="s">
        <v>573</v>
      </c>
      <c r="D260" s="4" t="s">
        <v>578</v>
      </c>
      <c r="E260" s="4" t="s">
        <v>579</v>
      </c>
      <c r="F260" s="4" t="s">
        <v>25</v>
      </c>
      <c r="G260" s="4" t="s">
        <v>26</v>
      </c>
      <c r="H260" s="4" t="s">
        <v>27</v>
      </c>
    </row>
    <row r="261" ht="14.25" customHeight="1">
      <c r="A261" s="4" t="s">
        <v>449</v>
      </c>
      <c r="B261" s="4" t="s">
        <v>56</v>
      </c>
      <c r="C261" s="4" t="s">
        <v>573</v>
      </c>
      <c r="D261" s="4" t="s">
        <v>580</v>
      </c>
      <c r="E261" s="4" t="s">
        <v>581</v>
      </c>
      <c r="F261" s="4" t="s">
        <v>25</v>
      </c>
      <c r="G261" s="4" t="s">
        <v>26</v>
      </c>
      <c r="H261" s="4" t="s">
        <v>27</v>
      </c>
    </row>
    <row r="262" ht="14.25" customHeight="1">
      <c r="A262" s="4" t="s">
        <v>449</v>
      </c>
      <c r="B262" s="4" t="s">
        <v>56</v>
      </c>
      <c r="C262" s="4" t="s">
        <v>573</v>
      </c>
      <c r="D262" s="4" t="s">
        <v>298</v>
      </c>
      <c r="E262" s="4" t="s">
        <v>582</v>
      </c>
      <c r="F262" s="4" t="s">
        <v>25</v>
      </c>
      <c r="G262" s="4" t="s">
        <v>26</v>
      </c>
      <c r="H262" s="4" t="s">
        <v>27</v>
      </c>
    </row>
    <row r="263" ht="14.25" customHeight="1">
      <c r="A263" s="4" t="s">
        <v>449</v>
      </c>
      <c r="B263" s="4" t="s">
        <v>56</v>
      </c>
      <c r="C263" s="4" t="s">
        <v>573</v>
      </c>
      <c r="D263" s="4" t="s">
        <v>583</v>
      </c>
      <c r="E263" s="4" t="s">
        <v>584</v>
      </c>
      <c r="F263" s="4" t="s">
        <v>25</v>
      </c>
      <c r="G263" s="4" t="s">
        <v>26</v>
      </c>
      <c r="H263" s="4" t="s">
        <v>27</v>
      </c>
    </row>
    <row r="264" ht="14.25" customHeight="1">
      <c r="A264" s="4" t="s">
        <v>449</v>
      </c>
      <c r="B264" s="4" t="s">
        <v>56</v>
      </c>
      <c r="C264" s="4" t="s">
        <v>573</v>
      </c>
      <c r="D264" s="4" t="s">
        <v>585</v>
      </c>
      <c r="E264" s="4" t="s">
        <v>586</v>
      </c>
      <c r="F264" s="4" t="s">
        <v>25</v>
      </c>
      <c r="G264" s="4" t="s">
        <v>26</v>
      </c>
      <c r="H264" s="4" t="s">
        <v>27</v>
      </c>
    </row>
    <row r="265" ht="14.25" customHeight="1">
      <c r="A265" s="4" t="s">
        <v>449</v>
      </c>
      <c r="B265" s="4" t="s">
        <v>56</v>
      </c>
      <c r="C265" s="4" t="s">
        <v>573</v>
      </c>
      <c r="D265" s="4" t="s">
        <v>587</v>
      </c>
      <c r="E265" s="4" t="s">
        <v>588</v>
      </c>
      <c r="F265" s="4" t="s">
        <v>25</v>
      </c>
      <c r="G265" s="4" t="s">
        <v>26</v>
      </c>
      <c r="H265" s="4" t="s">
        <v>27</v>
      </c>
    </row>
    <row r="266" ht="14.25" customHeight="1">
      <c r="A266" s="4" t="s">
        <v>449</v>
      </c>
      <c r="B266" s="4" t="s">
        <v>56</v>
      </c>
      <c r="C266" s="4" t="s">
        <v>589</v>
      </c>
      <c r="D266" s="4" t="s">
        <v>590</v>
      </c>
      <c r="E266" s="4" t="s">
        <v>591</v>
      </c>
      <c r="F266" s="4" t="s">
        <v>25</v>
      </c>
      <c r="G266" s="4" t="s">
        <v>26</v>
      </c>
      <c r="H266" s="4" t="s">
        <v>27</v>
      </c>
    </row>
    <row r="267" ht="14.25" customHeight="1">
      <c r="A267" s="4" t="s">
        <v>449</v>
      </c>
      <c r="B267" s="4" t="s">
        <v>56</v>
      </c>
      <c r="C267" s="4" t="s">
        <v>589</v>
      </c>
      <c r="D267" s="4" t="s">
        <v>592</v>
      </c>
      <c r="E267" s="4" t="s">
        <v>593</v>
      </c>
      <c r="F267" s="4" t="s">
        <v>25</v>
      </c>
      <c r="G267" s="4" t="s">
        <v>26</v>
      </c>
      <c r="H267" s="4" t="s">
        <v>27</v>
      </c>
    </row>
    <row r="268" ht="14.25" customHeight="1">
      <c r="A268" s="4" t="s">
        <v>449</v>
      </c>
      <c r="B268" s="4" t="s">
        <v>56</v>
      </c>
      <c r="C268" s="4" t="s">
        <v>589</v>
      </c>
      <c r="D268" s="4" t="s">
        <v>315</v>
      </c>
      <c r="E268" s="4" t="s">
        <v>316</v>
      </c>
      <c r="F268" s="4" t="s">
        <v>25</v>
      </c>
      <c r="G268" s="4" t="s">
        <v>26</v>
      </c>
      <c r="H268" s="4" t="s">
        <v>27</v>
      </c>
    </row>
    <row r="269" ht="14.25" customHeight="1">
      <c r="A269" s="4" t="s">
        <v>449</v>
      </c>
      <c r="B269" s="4" t="s">
        <v>56</v>
      </c>
      <c r="C269" s="4" t="s">
        <v>589</v>
      </c>
      <c r="D269" s="4" t="s">
        <v>594</v>
      </c>
      <c r="E269" s="4" t="s">
        <v>595</v>
      </c>
      <c r="F269" s="4" t="s">
        <v>25</v>
      </c>
      <c r="G269" s="4" t="s">
        <v>26</v>
      </c>
      <c r="H269" s="4" t="s">
        <v>27</v>
      </c>
    </row>
    <row r="270" ht="14.25" customHeight="1">
      <c r="A270" s="4" t="s">
        <v>449</v>
      </c>
      <c r="B270" s="4" t="s">
        <v>56</v>
      </c>
      <c r="C270" s="4" t="s">
        <v>589</v>
      </c>
      <c r="D270" s="4" t="s">
        <v>596</v>
      </c>
      <c r="E270" s="4" t="s">
        <v>597</v>
      </c>
      <c r="F270" s="4" t="s">
        <v>25</v>
      </c>
      <c r="G270" s="4" t="s">
        <v>26</v>
      </c>
      <c r="H270" s="4" t="s">
        <v>27</v>
      </c>
    </row>
    <row r="271" ht="14.25" customHeight="1">
      <c r="A271" s="4" t="s">
        <v>449</v>
      </c>
      <c r="B271" s="4" t="s">
        <v>56</v>
      </c>
      <c r="C271" s="4" t="s">
        <v>589</v>
      </c>
      <c r="D271" s="4" t="s">
        <v>598</v>
      </c>
      <c r="E271" s="4" t="s">
        <v>599</v>
      </c>
      <c r="F271" s="4" t="s">
        <v>25</v>
      </c>
      <c r="G271" s="4" t="s">
        <v>26</v>
      </c>
      <c r="H271" s="4" t="s">
        <v>27</v>
      </c>
    </row>
    <row r="272" ht="14.25" customHeight="1">
      <c r="A272" s="4" t="s">
        <v>449</v>
      </c>
      <c r="B272" s="4" t="s">
        <v>56</v>
      </c>
      <c r="C272" s="4" t="s">
        <v>589</v>
      </c>
      <c r="D272" s="4" t="s">
        <v>600</v>
      </c>
      <c r="E272" s="4" t="s">
        <v>601</v>
      </c>
      <c r="F272" s="4" t="s">
        <v>25</v>
      </c>
      <c r="G272" s="4" t="s">
        <v>26</v>
      </c>
      <c r="H272" s="4" t="s">
        <v>27</v>
      </c>
    </row>
    <row r="273" ht="14.25" customHeight="1">
      <c r="A273" s="4" t="s">
        <v>449</v>
      </c>
      <c r="B273" s="4" t="s">
        <v>56</v>
      </c>
      <c r="C273" s="4" t="s">
        <v>589</v>
      </c>
      <c r="D273" s="4" t="s">
        <v>602</v>
      </c>
      <c r="E273" s="4" t="s">
        <v>603</v>
      </c>
      <c r="F273" s="4" t="s">
        <v>25</v>
      </c>
      <c r="G273" s="4" t="s">
        <v>26</v>
      </c>
      <c r="H273" s="4" t="s">
        <v>27</v>
      </c>
    </row>
    <row r="274" ht="14.25" customHeight="1">
      <c r="A274" s="4" t="s">
        <v>449</v>
      </c>
      <c r="B274" s="4" t="s">
        <v>56</v>
      </c>
      <c r="C274" s="4" t="s">
        <v>604</v>
      </c>
      <c r="D274" s="4" t="s">
        <v>62</v>
      </c>
      <c r="E274" s="4" t="s">
        <v>605</v>
      </c>
      <c r="F274" s="4" t="s">
        <v>25</v>
      </c>
      <c r="G274" s="4" t="s">
        <v>26</v>
      </c>
      <c r="H274" s="4" t="s">
        <v>27</v>
      </c>
    </row>
    <row r="275" ht="14.25" customHeight="1">
      <c r="A275" s="4" t="s">
        <v>449</v>
      </c>
      <c r="B275" s="4" t="s">
        <v>56</v>
      </c>
      <c r="C275" s="4" t="s">
        <v>604</v>
      </c>
      <c r="D275" s="4" t="s">
        <v>390</v>
      </c>
      <c r="E275" s="4" t="s">
        <v>391</v>
      </c>
      <c r="F275" s="4" t="s">
        <v>25</v>
      </c>
      <c r="G275" s="4" t="s">
        <v>26</v>
      </c>
      <c r="H275" s="4" t="s">
        <v>27</v>
      </c>
    </row>
    <row r="276" ht="14.25" customHeight="1">
      <c r="A276" s="4" t="s">
        <v>449</v>
      </c>
      <c r="B276" s="4" t="s">
        <v>56</v>
      </c>
      <c r="C276" s="4" t="s">
        <v>604</v>
      </c>
      <c r="D276" s="4" t="s">
        <v>606</v>
      </c>
      <c r="E276" s="4" t="s">
        <v>607</v>
      </c>
      <c r="F276" s="4" t="s">
        <v>25</v>
      </c>
      <c r="G276" s="4" t="s">
        <v>26</v>
      </c>
      <c r="H276" s="4" t="s">
        <v>27</v>
      </c>
    </row>
    <row r="277" ht="14.25" customHeight="1">
      <c r="A277" s="4" t="s">
        <v>449</v>
      </c>
      <c r="B277" s="4" t="s">
        <v>56</v>
      </c>
      <c r="C277" s="4" t="s">
        <v>604</v>
      </c>
      <c r="D277" s="4" t="s">
        <v>608</v>
      </c>
      <c r="E277" s="4" t="s">
        <v>609</v>
      </c>
      <c r="F277" s="4" t="s">
        <v>25</v>
      </c>
      <c r="G277" s="4" t="s">
        <v>26</v>
      </c>
      <c r="H277" s="4" t="s">
        <v>27</v>
      </c>
    </row>
    <row r="278" ht="14.25" customHeight="1">
      <c r="A278" s="4" t="s">
        <v>449</v>
      </c>
      <c r="B278" s="4" t="s">
        <v>56</v>
      </c>
      <c r="C278" s="4" t="s">
        <v>604</v>
      </c>
      <c r="D278" s="4" t="s">
        <v>610</v>
      </c>
      <c r="E278" s="4" t="s">
        <v>611</v>
      </c>
      <c r="F278" s="4" t="s">
        <v>25</v>
      </c>
      <c r="G278" s="4" t="s">
        <v>26</v>
      </c>
      <c r="H278" s="4" t="s">
        <v>27</v>
      </c>
    </row>
    <row r="279" ht="14.25" customHeight="1">
      <c r="A279" s="4" t="s">
        <v>449</v>
      </c>
      <c r="B279" s="4" t="s">
        <v>56</v>
      </c>
      <c r="C279" s="4" t="s">
        <v>604</v>
      </c>
      <c r="D279" s="4" t="s">
        <v>612</v>
      </c>
      <c r="E279" s="4" t="s">
        <v>613</v>
      </c>
      <c r="F279" s="4" t="s">
        <v>25</v>
      </c>
      <c r="G279" s="4" t="s">
        <v>26</v>
      </c>
      <c r="H279" s="4" t="s">
        <v>27</v>
      </c>
    </row>
    <row r="280" ht="14.25" customHeight="1">
      <c r="A280" s="4" t="s">
        <v>449</v>
      </c>
      <c r="B280" s="4" t="s">
        <v>56</v>
      </c>
      <c r="C280" s="4" t="s">
        <v>604</v>
      </c>
      <c r="D280" s="4" t="s">
        <v>614</v>
      </c>
      <c r="E280" s="4" t="s">
        <v>615</v>
      </c>
      <c r="F280" s="4" t="s">
        <v>25</v>
      </c>
      <c r="G280" s="4" t="s">
        <v>26</v>
      </c>
      <c r="H280" s="4" t="s">
        <v>27</v>
      </c>
    </row>
    <row r="281" ht="14.25" customHeight="1">
      <c r="A281" s="4" t="s">
        <v>449</v>
      </c>
      <c r="B281" s="4" t="s">
        <v>56</v>
      </c>
      <c r="C281" s="4" t="s">
        <v>604</v>
      </c>
      <c r="D281" s="4" t="s">
        <v>616</v>
      </c>
      <c r="E281" s="4" t="s">
        <v>617</v>
      </c>
      <c r="F281" s="4" t="s">
        <v>25</v>
      </c>
      <c r="G281" s="4" t="s">
        <v>26</v>
      </c>
      <c r="H281" s="4" t="s">
        <v>27</v>
      </c>
    </row>
    <row r="282" ht="14.25" customHeight="1">
      <c r="A282" s="4" t="s">
        <v>449</v>
      </c>
      <c r="B282" s="4" t="s">
        <v>56</v>
      </c>
      <c r="C282" s="4" t="s">
        <v>618</v>
      </c>
      <c r="D282" s="4" t="s">
        <v>619</v>
      </c>
      <c r="E282" s="4" t="s">
        <v>620</v>
      </c>
      <c r="F282" s="4" t="s">
        <v>25</v>
      </c>
      <c r="G282" s="4" t="s">
        <v>26</v>
      </c>
      <c r="H282" s="4" t="s">
        <v>27</v>
      </c>
    </row>
    <row r="283" ht="14.25" customHeight="1">
      <c r="A283" s="4" t="s">
        <v>449</v>
      </c>
      <c r="B283" s="4" t="s">
        <v>56</v>
      </c>
      <c r="C283" s="4" t="s">
        <v>618</v>
      </c>
      <c r="D283" s="4" t="s">
        <v>621</v>
      </c>
      <c r="E283" s="4" t="s">
        <v>622</v>
      </c>
      <c r="F283" s="4" t="s">
        <v>25</v>
      </c>
      <c r="G283" s="4" t="s">
        <v>26</v>
      </c>
      <c r="H283" s="4" t="s">
        <v>27</v>
      </c>
    </row>
    <row r="284" ht="14.25" customHeight="1">
      <c r="A284" s="4" t="s">
        <v>449</v>
      </c>
      <c r="B284" s="4" t="s">
        <v>56</v>
      </c>
      <c r="C284" s="4" t="s">
        <v>618</v>
      </c>
      <c r="D284" s="4" t="s">
        <v>623</v>
      </c>
      <c r="E284" s="4" t="s">
        <v>624</v>
      </c>
      <c r="F284" s="4" t="s">
        <v>25</v>
      </c>
      <c r="G284" s="4" t="s">
        <v>26</v>
      </c>
      <c r="H284" s="4" t="s">
        <v>27</v>
      </c>
    </row>
    <row r="285" ht="14.25" customHeight="1">
      <c r="A285" s="4" t="s">
        <v>449</v>
      </c>
      <c r="B285" s="4" t="s">
        <v>56</v>
      </c>
      <c r="C285" s="4" t="s">
        <v>618</v>
      </c>
      <c r="D285" s="4" t="s">
        <v>625</v>
      </c>
      <c r="E285" s="4" t="s">
        <v>626</v>
      </c>
      <c r="F285" s="4" t="s">
        <v>25</v>
      </c>
      <c r="G285" s="4" t="s">
        <v>26</v>
      </c>
      <c r="H285" s="4" t="s">
        <v>27</v>
      </c>
    </row>
    <row r="286" ht="14.25" customHeight="1">
      <c r="A286" s="4" t="s">
        <v>449</v>
      </c>
      <c r="B286" s="4" t="s">
        <v>56</v>
      </c>
      <c r="C286" s="4" t="s">
        <v>618</v>
      </c>
      <c r="D286" s="4" t="s">
        <v>627</v>
      </c>
      <c r="E286" s="4" t="s">
        <v>628</v>
      </c>
      <c r="F286" s="4" t="s">
        <v>25</v>
      </c>
      <c r="G286" s="4" t="s">
        <v>26</v>
      </c>
      <c r="H286" s="4" t="s">
        <v>27</v>
      </c>
    </row>
    <row r="287" ht="14.25" customHeight="1">
      <c r="A287" s="4" t="s">
        <v>449</v>
      </c>
      <c r="B287" s="4" t="s">
        <v>56</v>
      </c>
      <c r="C287" s="4" t="s">
        <v>618</v>
      </c>
      <c r="D287" s="4" t="s">
        <v>629</v>
      </c>
      <c r="E287" s="4" t="s">
        <v>630</v>
      </c>
      <c r="F287" s="4" t="s">
        <v>25</v>
      </c>
      <c r="G287" s="4" t="s">
        <v>26</v>
      </c>
      <c r="H287" s="4" t="s">
        <v>27</v>
      </c>
    </row>
    <row r="288" ht="14.25" customHeight="1">
      <c r="A288" s="4" t="s">
        <v>449</v>
      </c>
      <c r="B288" s="4" t="s">
        <v>56</v>
      </c>
      <c r="C288" s="4" t="s">
        <v>618</v>
      </c>
      <c r="D288" s="4" t="s">
        <v>321</v>
      </c>
      <c r="E288" s="4" t="s">
        <v>322</v>
      </c>
      <c r="F288" s="4" t="s">
        <v>25</v>
      </c>
      <c r="G288" s="4" t="s">
        <v>26</v>
      </c>
      <c r="H288" s="4" t="s">
        <v>27</v>
      </c>
    </row>
    <row r="289" ht="14.25" customHeight="1">
      <c r="A289" s="4" t="s">
        <v>449</v>
      </c>
      <c r="B289" s="4" t="s">
        <v>56</v>
      </c>
      <c r="C289" s="4" t="s">
        <v>618</v>
      </c>
      <c r="D289" s="4" t="s">
        <v>631</v>
      </c>
      <c r="E289" s="4" t="s">
        <v>632</v>
      </c>
      <c r="F289" s="4" t="s">
        <v>25</v>
      </c>
      <c r="G289" s="4" t="s">
        <v>26</v>
      </c>
      <c r="H289" s="4" t="s">
        <v>27</v>
      </c>
    </row>
    <row r="290" ht="14.25" customHeight="1">
      <c r="A290" s="4" t="s">
        <v>449</v>
      </c>
      <c r="B290" s="4" t="s">
        <v>59</v>
      </c>
      <c r="C290" s="4" t="s">
        <v>633</v>
      </c>
      <c r="D290" s="4" t="s">
        <v>634</v>
      </c>
      <c r="E290" s="4" t="s">
        <v>635</v>
      </c>
      <c r="F290" s="4" t="s">
        <v>25</v>
      </c>
      <c r="G290" s="4" t="s">
        <v>26</v>
      </c>
      <c r="H290" s="4" t="s">
        <v>27</v>
      </c>
    </row>
    <row r="291" ht="14.25" customHeight="1">
      <c r="A291" s="4" t="s">
        <v>449</v>
      </c>
      <c r="B291" s="4" t="s">
        <v>59</v>
      </c>
      <c r="C291" s="4" t="s">
        <v>633</v>
      </c>
      <c r="D291" s="4" t="s">
        <v>165</v>
      </c>
      <c r="E291" s="4" t="s">
        <v>166</v>
      </c>
      <c r="F291" s="4" t="s">
        <v>25</v>
      </c>
      <c r="G291" s="4" t="s">
        <v>26</v>
      </c>
      <c r="H291" s="4" t="s">
        <v>27</v>
      </c>
    </row>
    <row r="292" ht="14.25" customHeight="1">
      <c r="A292" s="4" t="s">
        <v>449</v>
      </c>
      <c r="B292" s="4" t="s">
        <v>59</v>
      </c>
      <c r="C292" s="4" t="s">
        <v>633</v>
      </c>
      <c r="D292" s="4" t="s">
        <v>217</v>
      </c>
      <c r="E292" s="4" t="s">
        <v>218</v>
      </c>
      <c r="F292" s="4" t="s">
        <v>25</v>
      </c>
      <c r="G292" s="4" t="s">
        <v>26</v>
      </c>
      <c r="H292" s="4" t="s">
        <v>27</v>
      </c>
    </row>
    <row r="293" ht="14.25" customHeight="1">
      <c r="A293" s="4" t="s">
        <v>449</v>
      </c>
      <c r="B293" s="4" t="s">
        <v>59</v>
      </c>
      <c r="C293" s="4" t="s">
        <v>633</v>
      </c>
      <c r="D293" s="4" t="s">
        <v>338</v>
      </c>
      <c r="E293" s="4" t="s">
        <v>636</v>
      </c>
      <c r="F293" s="4" t="s">
        <v>25</v>
      </c>
      <c r="G293" s="4" t="s">
        <v>26</v>
      </c>
      <c r="H293" s="4" t="s">
        <v>27</v>
      </c>
    </row>
    <row r="294" ht="14.25" customHeight="1">
      <c r="A294" s="4" t="s">
        <v>449</v>
      </c>
      <c r="B294" s="4" t="s">
        <v>59</v>
      </c>
      <c r="C294" s="4" t="s">
        <v>633</v>
      </c>
      <c r="D294" s="4" t="s">
        <v>637</v>
      </c>
      <c r="E294" s="4" t="s">
        <v>638</v>
      </c>
      <c r="F294" s="4" t="s">
        <v>25</v>
      </c>
      <c r="G294" s="4" t="s">
        <v>26</v>
      </c>
      <c r="H294" s="4" t="s">
        <v>27</v>
      </c>
    </row>
    <row r="295" ht="14.25" customHeight="1">
      <c r="A295" s="4" t="s">
        <v>449</v>
      </c>
      <c r="B295" s="4" t="s">
        <v>59</v>
      </c>
      <c r="C295" s="4" t="s">
        <v>633</v>
      </c>
      <c r="D295" s="4" t="s">
        <v>639</v>
      </c>
      <c r="E295" s="4" t="s">
        <v>640</v>
      </c>
      <c r="F295" s="4" t="s">
        <v>25</v>
      </c>
      <c r="G295" s="4" t="s">
        <v>26</v>
      </c>
      <c r="H295" s="4" t="s">
        <v>27</v>
      </c>
    </row>
    <row r="296" ht="14.25" customHeight="1">
      <c r="A296" s="4" t="s">
        <v>449</v>
      </c>
      <c r="B296" s="4" t="s">
        <v>59</v>
      </c>
      <c r="C296" s="4" t="s">
        <v>633</v>
      </c>
      <c r="D296" s="4" t="s">
        <v>641</v>
      </c>
      <c r="E296" s="4" t="s">
        <v>642</v>
      </c>
      <c r="F296" s="4" t="s">
        <v>25</v>
      </c>
      <c r="G296" s="4" t="s">
        <v>26</v>
      </c>
      <c r="H296" s="4" t="s">
        <v>27</v>
      </c>
    </row>
    <row r="297" ht="14.25" customHeight="1">
      <c r="A297" s="4" t="s">
        <v>449</v>
      </c>
      <c r="B297" s="4" t="s">
        <v>59</v>
      </c>
      <c r="C297" s="4" t="s">
        <v>633</v>
      </c>
      <c r="D297" s="4" t="s">
        <v>336</v>
      </c>
      <c r="E297" s="4" t="s">
        <v>337</v>
      </c>
      <c r="F297" s="4" t="s">
        <v>25</v>
      </c>
      <c r="G297" s="4" t="s">
        <v>26</v>
      </c>
      <c r="H297" s="4" t="s">
        <v>27</v>
      </c>
    </row>
    <row r="298" ht="14.25" customHeight="1">
      <c r="A298" s="4" t="s">
        <v>449</v>
      </c>
      <c r="B298" s="4" t="s">
        <v>59</v>
      </c>
      <c r="C298" s="4" t="s">
        <v>643</v>
      </c>
      <c r="D298" s="4" t="s">
        <v>644</v>
      </c>
      <c r="E298" s="4" t="s">
        <v>645</v>
      </c>
      <c r="F298" s="4" t="s">
        <v>25</v>
      </c>
      <c r="G298" s="4" t="s">
        <v>26</v>
      </c>
      <c r="H298" s="4" t="s">
        <v>27</v>
      </c>
    </row>
    <row r="299" ht="14.25" customHeight="1">
      <c r="A299" s="4" t="s">
        <v>449</v>
      </c>
      <c r="B299" s="4" t="s">
        <v>59</v>
      </c>
      <c r="C299" s="4" t="s">
        <v>643</v>
      </c>
      <c r="D299" s="4" t="s">
        <v>646</v>
      </c>
      <c r="E299" s="4" t="s">
        <v>647</v>
      </c>
      <c r="F299" s="4" t="s">
        <v>25</v>
      </c>
      <c r="G299" s="4" t="s">
        <v>26</v>
      </c>
      <c r="H299" s="4" t="s">
        <v>27</v>
      </c>
    </row>
    <row r="300" ht="14.25" customHeight="1">
      <c r="A300" s="4" t="s">
        <v>449</v>
      </c>
      <c r="B300" s="4" t="s">
        <v>59</v>
      </c>
      <c r="C300" s="4" t="s">
        <v>643</v>
      </c>
      <c r="D300" s="4" t="s">
        <v>648</v>
      </c>
      <c r="E300" s="4" t="s">
        <v>649</v>
      </c>
      <c r="F300" s="4" t="s">
        <v>25</v>
      </c>
      <c r="G300" s="4" t="s">
        <v>26</v>
      </c>
      <c r="H300" s="4" t="s">
        <v>27</v>
      </c>
    </row>
    <row r="301" ht="14.25" customHeight="1">
      <c r="A301" s="4" t="s">
        <v>449</v>
      </c>
      <c r="B301" s="4" t="s">
        <v>59</v>
      </c>
      <c r="C301" s="4" t="s">
        <v>643</v>
      </c>
      <c r="D301" s="4" t="s">
        <v>650</v>
      </c>
      <c r="E301" s="4" t="s">
        <v>651</v>
      </c>
      <c r="F301" s="4" t="s">
        <v>25</v>
      </c>
      <c r="G301" s="4" t="s">
        <v>26</v>
      </c>
      <c r="H301" s="4" t="s">
        <v>27</v>
      </c>
    </row>
    <row r="302" ht="14.25" customHeight="1">
      <c r="A302" s="4" t="s">
        <v>449</v>
      </c>
      <c r="B302" s="4" t="s">
        <v>59</v>
      </c>
      <c r="C302" s="4" t="s">
        <v>643</v>
      </c>
      <c r="D302" s="4" t="s">
        <v>652</v>
      </c>
      <c r="E302" s="4" t="s">
        <v>653</v>
      </c>
      <c r="F302" s="4" t="s">
        <v>25</v>
      </c>
      <c r="G302" s="4" t="s">
        <v>26</v>
      </c>
      <c r="H302" s="4" t="s">
        <v>27</v>
      </c>
    </row>
    <row r="303" ht="14.25" customHeight="1">
      <c r="A303" s="4" t="s">
        <v>449</v>
      </c>
      <c r="B303" s="4" t="s">
        <v>59</v>
      </c>
      <c r="C303" s="4" t="s">
        <v>643</v>
      </c>
      <c r="D303" s="4" t="s">
        <v>654</v>
      </c>
      <c r="E303" s="4" t="s">
        <v>655</v>
      </c>
      <c r="F303" s="4" t="s">
        <v>25</v>
      </c>
      <c r="G303" s="4" t="s">
        <v>26</v>
      </c>
      <c r="H303" s="4" t="s">
        <v>27</v>
      </c>
    </row>
    <row r="304" ht="14.25" customHeight="1">
      <c r="A304" s="4" t="s">
        <v>449</v>
      </c>
      <c r="B304" s="4" t="s">
        <v>59</v>
      </c>
      <c r="C304" s="4" t="s">
        <v>643</v>
      </c>
      <c r="D304" s="4" t="s">
        <v>656</v>
      </c>
      <c r="E304" s="4" t="s">
        <v>657</v>
      </c>
      <c r="F304" s="4" t="s">
        <v>25</v>
      </c>
      <c r="G304" s="4" t="s">
        <v>26</v>
      </c>
      <c r="H304" s="4" t="s">
        <v>27</v>
      </c>
    </row>
    <row r="305" ht="14.25" customHeight="1">
      <c r="A305" s="4" t="s">
        <v>449</v>
      </c>
      <c r="B305" s="4" t="s">
        <v>59</v>
      </c>
      <c r="C305" s="4" t="s">
        <v>643</v>
      </c>
      <c r="D305" s="4" t="s">
        <v>658</v>
      </c>
      <c r="E305" s="4" t="s">
        <v>659</v>
      </c>
      <c r="F305" s="4" t="s">
        <v>25</v>
      </c>
      <c r="G305" s="4" t="s">
        <v>26</v>
      </c>
      <c r="H305" s="4" t="s">
        <v>27</v>
      </c>
    </row>
    <row r="306" ht="14.25" customHeight="1">
      <c r="A306" s="4" t="s">
        <v>449</v>
      </c>
      <c r="B306" s="4" t="s">
        <v>59</v>
      </c>
      <c r="C306" s="4" t="s">
        <v>660</v>
      </c>
      <c r="D306" s="4" t="s">
        <v>135</v>
      </c>
      <c r="E306" s="4" t="s">
        <v>136</v>
      </c>
      <c r="F306" s="4" t="s">
        <v>25</v>
      </c>
      <c r="G306" s="4" t="s">
        <v>26</v>
      </c>
      <c r="H306" s="4" t="s">
        <v>27</v>
      </c>
    </row>
    <row r="307" ht="14.25" customHeight="1">
      <c r="A307" s="4" t="s">
        <v>449</v>
      </c>
      <c r="B307" s="4" t="s">
        <v>59</v>
      </c>
      <c r="C307" s="4" t="s">
        <v>660</v>
      </c>
      <c r="D307" s="4" t="s">
        <v>661</v>
      </c>
      <c r="E307" s="4" t="s">
        <v>662</v>
      </c>
      <c r="F307" s="4" t="s">
        <v>25</v>
      </c>
      <c r="G307" s="4" t="s">
        <v>26</v>
      </c>
      <c r="H307" s="4" t="s">
        <v>27</v>
      </c>
    </row>
    <row r="308" ht="14.25" customHeight="1">
      <c r="A308" s="4" t="s">
        <v>449</v>
      </c>
      <c r="B308" s="4" t="s">
        <v>59</v>
      </c>
      <c r="C308" s="4" t="s">
        <v>660</v>
      </c>
      <c r="D308" s="4" t="s">
        <v>663</v>
      </c>
      <c r="E308" s="4" t="s">
        <v>664</v>
      </c>
      <c r="F308" s="4" t="s">
        <v>25</v>
      </c>
      <c r="G308" s="4" t="s">
        <v>26</v>
      </c>
      <c r="H308" s="4" t="s">
        <v>27</v>
      </c>
    </row>
    <row r="309" ht="14.25" customHeight="1">
      <c r="A309" s="4" t="s">
        <v>449</v>
      </c>
      <c r="B309" s="4" t="s">
        <v>59</v>
      </c>
      <c r="C309" s="4" t="s">
        <v>660</v>
      </c>
      <c r="D309" s="4" t="s">
        <v>303</v>
      </c>
      <c r="E309" s="4" t="s">
        <v>304</v>
      </c>
      <c r="F309" s="4" t="s">
        <v>25</v>
      </c>
      <c r="G309" s="4" t="s">
        <v>26</v>
      </c>
      <c r="H309" s="4" t="s">
        <v>27</v>
      </c>
    </row>
    <row r="310" ht="14.25" customHeight="1">
      <c r="A310" s="4" t="s">
        <v>449</v>
      </c>
      <c r="B310" s="4" t="s">
        <v>59</v>
      </c>
      <c r="C310" s="4" t="s">
        <v>660</v>
      </c>
      <c r="D310" s="4" t="s">
        <v>665</v>
      </c>
      <c r="E310" s="4" t="s">
        <v>666</v>
      </c>
      <c r="F310" s="4" t="s">
        <v>25</v>
      </c>
      <c r="G310" s="4" t="s">
        <v>26</v>
      </c>
      <c r="H310" s="4" t="s">
        <v>27</v>
      </c>
    </row>
    <row r="311" ht="14.25" customHeight="1">
      <c r="A311" s="4" t="s">
        <v>449</v>
      </c>
      <c r="B311" s="4" t="s">
        <v>59</v>
      </c>
      <c r="C311" s="4" t="s">
        <v>660</v>
      </c>
      <c r="D311" s="4" t="s">
        <v>667</v>
      </c>
      <c r="E311" s="4" t="s">
        <v>668</v>
      </c>
      <c r="F311" s="4" t="s">
        <v>25</v>
      </c>
      <c r="G311" s="4" t="s">
        <v>26</v>
      </c>
      <c r="H311" s="4" t="s">
        <v>27</v>
      </c>
    </row>
    <row r="312" ht="14.25" customHeight="1">
      <c r="A312" s="4" t="s">
        <v>449</v>
      </c>
      <c r="B312" s="4" t="s">
        <v>59</v>
      </c>
      <c r="C312" s="4" t="s">
        <v>660</v>
      </c>
      <c r="D312" s="4" t="s">
        <v>669</v>
      </c>
      <c r="E312" s="4" t="s">
        <v>670</v>
      </c>
      <c r="F312" s="4" t="s">
        <v>25</v>
      </c>
      <c r="G312" s="4" t="s">
        <v>26</v>
      </c>
      <c r="H312" s="4" t="s">
        <v>27</v>
      </c>
    </row>
    <row r="313" ht="14.25" customHeight="1">
      <c r="A313" s="4" t="s">
        <v>449</v>
      </c>
      <c r="B313" s="4" t="s">
        <v>59</v>
      </c>
      <c r="C313" s="4" t="s">
        <v>660</v>
      </c>
      <c r="D313" s="4" t="s">
        <v>671</v>
      </c>
      <c r="E313" s="4" t="s">
        <v>672</v>
      </c>
      <c r="F313" s="4" t="s">
        <v>25</v>
      </c>
      <c r="G313" s="4" t="s">
        <v>26</v>
      </c>
      <c r="H313" s="4" t="s">
        <v>27</v>
      </c>
    </row>
    <row r="314" ht="14.25" customHeight="1">
      <c r="A314" s="4" t="s">
        <v>449</v>
      </c>
      <c r="B314" s="4" t="s">
        <v>59</v>
      </c>
      <c r="C314" s="4" t="s">
        <v>213</v>
      </c>
      <c r="D314" s="4" t="s">
        <v>673</v>
      </c>
      <c r="E314" s="4" t="s">
        <v>674</v>
      </c>
      <c r="F314" s="4" t="s">
        <v>25</v>
      </c>
      <c r="G314" s="4" t="s">
        <v>26</v>
      </c>
      <c r="H314" s="4" t="s">
        <v>27</v>
      </c>
    </row>
    <row r="315" ht="14.25" customHeight="1">
      <c r="A315" s="4" t="s">
        <v>449</v>
      </c>
      <c r="B315" s="4" t="s">
        <v>59</v>
      </c>
      <c r="C315" s="4" t="s">
        <v>213</v>
      </c>
      <c r="D315" s="4" t="s">
        <v>675</v>
      </c>
      <c r="E315" s="4" t="s">
        <v>676</v>
      </c>
      <c r="F315" s="4" t="s">
        <v>25</v>
      </c>
      <c r="G315" s="4" t="s">
        <v>26</v>
      </c>
      <c r="H315" s="4" t="s">
        <v>27</v>
      </c>
    </row>
    <row r="316" ht="14.25" customHeight="1">
      <c r="A316" s="4" t="s">
        <v>449</v>
      </c>
      <c r="B316" s="4" t="s">
        <v>59</v>
      </c>
      <c r="C316" s="4" t="s">
        <v>213</v>
      </c>
      <c r="D316" s="4" t="s">
        <v>677</v>
      </c>
      <c r="E316" s="4" t="s">
        <v>678</v>
      </c>
      <c r="F316" s="4" t="s">
        <v>25</v>
      </c>
      <c r="G316" s="4" t="s">
        <v>26</v>
      </c>
      <c r="H316" s="4" t="s">
        <v>27</v>
      </c>
    </row>
    <row r="317" ht="14.25" customHeight="1">
      <c r="A317" s="4" t="s">
        <v>449</v>
      </c>
      <c r="B317" s="4" t="s">
        <v>59</v>
      </c>
      <c r="C317" s="4" t="s">
        <v>213</v>
      </c>
      <c r="D317" s="4" t="s">
        <v>679</v>
      </c>
      <c r="E317" s="4" t="s">
        <v>680</v>
      </c>
      <c r="F317" s="4" t="s">
        <v>25</v>
      </c>
      <c r="G317" s="4" t="s">
        <v>26</v>
      </c>
      <c r="H317" s="4" t="s">
        <v>27</v>
      </c>
    </row>
    <row r="318" ht="14.25" customHeight="1">
      <c r="A318" s="4" t="s">
        <v>449</v>
      </c>
      <c r="B318" s="4" t="s">
        <v>59</v>
      </c>
      <c r="C318" s="4" t="s">
        <v>213</v>
      </c>
      <c r="D318" s="4" t="s">
        <v>681</v>
      </c>
      <c r="E318" s="4" t="s">
        <v>682</v>
      </c>
      <c r="F318" s="4" t="s">
        <v>25</v>
      </c>
      <c r="G318" s="4" t="s">
        <v>26</v>
      </c>
      <c r="H318" s="4" t="s">
        <v>27</v>
      </c>
    </row>
    <row r="319" ht="14.25" customHeight="1">
      <c r="A319" s="4" t="s">
        <v>449</v>
      </c>
      <c r="B319" s="4" t="s">
        <v>59</v>
      </c>
      <c r="C319" s="4" t="s">
        <v>213</v>
      </c>
      <c r="D319" s="4" t="s">
        <v>683</v>
      </c>
      <c r="E319" s="4" t="s">
        <v>684</v>
      </c>
      <c r="F319" s="4" t="s">
        <v>25</v>
      </c>
      <c r="G319" s="4" t="s">
        <v>26</v>
      </c>
      <c r="H319" s="4" t="s">
        <v>27</v>
      </c>
    </row>
    <row r="320" ht="14.25" customHeight="1">
      <c r="A320" s="4" t="s">
        <v>449</v>
      </c>
      <c r="B320" s="4" t="s">
        <v>59</v>
      </c>
      <c r="C320" s="4" t="s">
        <v>213</v>
      </c>
      <c r="D320" s="4" t="s">
        <v>685</v>
      </c>
      <c r="E320" s="4" t="s">
        <v>686</v>
      </c>
      <c r="F320" s="4" t="s">
        <v>25</v>
      </c>
      <c r="G320" s="4" t="s">
        <v>26</v>
      </c>
      <c r="H320" s="4" t="s">
        <v>27</v>
      </c>
    </row>
    <row r="321" ht="14.25" customHeight="1">
      <c r="A321" s="4" t="s">
        <v>449</v>
      </c>
      <c r="B321" s="4" t="s">
        <v>59</v>
      </c>
      <c r="C321" s="4" t="s">
        <v>213</v>
      </c>
      <c r="D321" s="4" t="s">
        <v>687</v>
      </c>
      <c r="E321" s="4" t="s">
        <v>688</v>
      </c>
      <c r="F321" s="4" t="s">
        <v>25</v>
      </c>
      <c r="G321" s="4" t="s">
        <v>26</v>
      </c>
      <c r="H321" s="4" t="s">
        <v>27</v>
      </c>
    </row>
    <row r="322" ht="14.25" customHeight="1">
      <c r="A322" s="4" t="s">
        <v>449</v>
      </c>
      <c r="B322" s="4" t="s">
        <v>62</v>
      </c>
      <c r="C322" s="4" t="s">
        <v>689</v>
      </c>
      <c r="D322" s="4" t="s">
        <v>690</v>
      </c>
      <c r="E322" s="4" t="s">
        <v>691</v>
      </c>
      <c r="F322" s="4" t="s">
        <v>25</v>
      </c>
      <c r="G322" s="4" t="s">
        <v>26</v>
      </c>
      <c r="H322" s="4" t="s">
        <v>27</v>
      </c>
    </row>
    <row r="323" ht="14.25" customHeight="1">
      <c r="A323" s="4" t="s">
        <v>449</v>
      </c>
      <c r="B323" s="4" t="s">
        <v>62</v>
      </c>
      <c r="C323" s="4" t="s">
        <v>689</v>
      </c>
      <c r="D323" s="4" t="s">
        <v>692</v>
      </c>
      <c r="E323" s="4" t="s">
        <v>693</v>
      </c>
      <c r="F323" s="4" t="s">
        <v>25</v>
      </c>
      <c r="G323" s="4" t="s">
        <v>26</v>
      </c>
      <c r="H323" s="4" t="s">
        <v>27</v>
      </c>
    </row>
    <row r="324" ht="14.25" customHeight="1">
      <c r="A324" s="4" t="s">
        <v>449</v>
      </c>
      <c r="B324" s="4" t="s">
        <v>62</v>
      </c>
      <c r="C324" s="4" t="s">
        <v>689</v>
      </c>
      <c r="D324" s="4" t="s">
        <v>694</v>
      </c>
      <c r="E324" s="4" t="s">
        <v>695</v>
      </c>
      <c r="F324" s="4" t="s">
        <v>25</v>
      </c>
      <c r="G324" s="4" t="s">
        <v>26</v>
      </c>
      <c r="H324" s="4" t="s">
        <v>27</v>
      </c>
    </row>
    <row r="325" ht="14.25" customHeight="1">
      <c r="A325" s="4" t="s">
        <v>449</v>
      </c>
      <c r="B325" s="4" t="s">
        <v>62</v>
      </c>
      <c r="C325" s="4" t="s">
        <v>689</v>
      </c>
      <c r="D325" s="4" t="s">
        <v>696</v>
      </c>
      <c r="E325" s="4" t="s">
        <v>697</v>
      </c>
      <c r="F325" s="4" t="s">
        <v>25</v>
      </c>
      <c r="G325" s="4" t="s">
        <v>26</v>
      </c>
      <c r="H325" s="4" t="s">
        <v>27</v>
      </c>
    </row>
    <row r="326" ht="14.25" customHeight="1">
      <c r="A326" s="4" t="s">
        <v>449</v>
      </c>
      <c r="B326" s="4" t="s">
        <v>62</v>
      </c>
      <c r="C326" s="4" t="s">
        <v>689</v>
      </c>
      <c r="D326" s="4" t="s">
        <v>698</v>
      </c>
      <c r="E326" s="4" t="s">
        <v>699</v>
      </c>
      <c r="F326" s="4" t="s">
        <v>25</v>
      </c>
      <c r="G326" s="4" t="s">
        <v>26</v>
      </c>
      <c r="H326" s="4" t="s">
        <v>27</v>
      </c>
    </row>
    <row r="327" ht="14.25" customHeight="1">
      <c r="A327" s="4" t="s">
        <v>449</v>
      </c>
      <c r="B327" s="4" t="s">
        <v>62</v>
      </c>
      <c r="C327" s="4" t="s">
        <v>689</v>
      </c>
      <c r="D327" s="4" t="s">
        <v>504</v>
      </c>
      <c r="E327" s="4" t="s">
        <v>505</v>
      </c>
      <c r="F327" s="4" t="s">
        <v>25</v>
      </c>
      <c r="G327" s="4" t="s">
        <v>26</v>
      </c>
      <c r="H327" s="4" t="s">
        <v>27</v>
      </c>
    </row>
    <row r="328" ht="14.25" customHeight="1">
      <c r="A328" s="4" t="s">
        <v>449</v>
      </c>
      <c r="B328" s="4" t="s">
        <v>62</v>
      </c>
      <c r="C328" s="4" t="s">
        <v>689</v>
      </c>
      <c r="D328" s="4" t="s">
        <v>700</v>
      </c>
      <c r="E328" s="4" t="s">
        <v>701</v>
      </c>
      <c r="F328" s="4" t="s">
        <v>25</v>
      </c>
      <c r="G328" s="4" t="s">
        <v>26</v>
      </c>
      <c r="H328" s="4" t="s">
        <v>27</v>
      </c>
    </row>
    <row r="329" ht="14.25" customHeight="1">
      <c r="A329" s="4" t="s">
        <v>449</v>
      </c>
      <c r="B329" s="4" t="s">
        <v>62</v>
      </c>
      <c r="C329" s="4" t="s">
        <v>689</v>
      </c>
      <c r="D329" s="4" t="s">
        <v>702</v>
      </c>
      <c r="E329" s="4" t="s">
        <v>703</v>
      </c>
      <c r="F329" s="4" t="s">
        <v>25</v>
      </c>
      <c r="G329" s="4" t="s">
        <v>26</v>
      </c>
      <c r="H329" s="4" t="s">
        <v>27</v>
      </c>
    </row>
    <row r="330" ht="14.25" customHeight="1">
      <c r="A330" s="4" t="s">
        <v>449</v>
      </c>
      <c r="B330" s="4" t="s">
        <v>62</v>
      </c>
      <c r="C330" s="4" t="s">
        <v>704</v>
      </c>
      <c r="D330" s="4" t="s">
        <v>705</v>
      </c>
      <c r="E330" s="4" t="s">
        <v>706</v>
      </c>
      <c r="F330" s="4" t="s">
        <v>25</v>
      </c>
      <c r="G330" s="4" t="s">
        <v>26</v>
      </c>
      <c r="H330" s="4" t="s">
        <v>27</v>
      </c>
    </row>
    <row r="331" ht="14.25" customHeight="1">
      <c r="A331" s="4" t="s">
        <v>449</v>
      </c>
      <c r="B331" s="4" t="s">
        <v>62</v>
      </c>
      <c r="C331" s="4" t="s">
        <v>704</v>
      </c>
      <c r="D331" s="4" t="s">
        <v>707</v>
      </c>
      <c r="E331" s="4" t="s">
        <v>708</v>
      </c>
      <c r="F331" s="4" t="s">
        <v>25</v>
      </c>
      <c r="G331" s="4" t="s">
        <v>26</v>
      </c>
      <c r="H331" s="4" t="s">
        <v>27</v>
      </c>
    </row>
    <row r="332" ht="14.25" customHeight="1">
      <c r="A332" s="4" t="s">
        <v>449</v>
      </c>
      <c r="B332" s="4" t="s">
        <v>62</v>
      </c>
      <c r="C332" s="4" t="s">
        <v>704</v>
      </c>
      <c r="D332" s="4" t="s">
        <v>709</v>
      </c>
      <c r="E332" s="4" t="s">
        <v>710</v>
      </c>
      <c r="F332" s="4" t="s">
        <v>25</v>
      </c>
      <c r="G332" s="4" t="s">
        <v>26</v>
      </c>
      <c r="H332" s="4" t="s">
        <v>27</v>
      </c>
    </row>
    <row r="333" ht="14.25" customHeight="1">
      <c r="A333" s="4" t="s">
        <v>449</v>
      </c>
      <c r="B333" s="4" t="s">
        <v>62</v>
      </c>
      <c r="C333" s="4" t="s">
        <v>704</v>
      </c>
      <c r="D333" s="4" t="s">
        <v>711</v>
      </c>
      <c r="E333" s="4" t="s">
        <v>712</v>
      </c>
      <c r="F333" s="4" t="s">
        <v>25</v>
      </c>
      <c r="G333" s="4" t="s">
        <v>26</v>
      </c>
      <c r="H333" s="4" t="s">
        <v>27</v>
      </c>
    </row>
    <row r="334" ht="14.25" customHeight="1">
      <c r="A334" s="4" t="s">
        <v>449</v>
      </c>
      <c r="B334" s="4" t="s">
        <v>62</v>
      </c>
      <c r="C334" s="4" t="s">
        <v>704</v>
      </c>
      <c r="D334" s="4" t="s">
        <v>713</v>
      </c>
      <c r="E334" s="4" t="s">
        <v>714</v>
      </c>
      <c r="F334" s="4" t="s">
        <v>25</v>
      </c>
      <c r="G334" s="4" t="s">
        <v>26</v>
      </c>
      <c r="H334" s="4" t="s">
        <v>27</v>
      </c>
    </row>
    <row r="335" ht="14.25" customHeight="1">
      <c r="A335" s="4" t="s">
        <v>449</v>
      </c>
      <c r="B335" s="4" t="s">
        <v>62</v>
      </c>
      <c r="C335" s="4" t="s">
        <v>704</v>
      </c>
      <c r="D335" s="4" t="s">
        <v>336</v>
      </c>
      <c r="E335" s="4" t="s">
        <v>337</v>
      </c>
      <c r="F335" s="4" t="s">
        <v>25</v>
      </c>
      <c r="G335" s="4" t="s">
        <v>26</v>
      </c>
      <c r="H335" s="4" t="s">
        <v>27</v>
      </c>
    </row>
    <row r="336" ht="14.25" customHeight="1">
      <c r="A336" s="4" t="s">
        <v>449</v>
      </c>
      <c r="B336" s="4" t="s">
        <v>62</v>
      </c>
      <c r="C336" s="4" t="s">
        <v>704</v>
      </c>
      <c r="D336" s="4" t="s">
        <v>715</v>
      </c>
      <c r="E336" s="4" t="s">
        <v>716</v>
      </c>
      <c r="F336" s="4" t="s">
        <v>25</v>
      </c>
      <c r="G336" s="4" t="s">
        <v>26</v>
      </c>
      <c r="H336" s="4" t="s">
        <v>27</v>
      </c>
    </row>
    <row r="337" ht="14.25" customHeight="1">
      <c r="A337" s="4" t="s">
        <v>449</v>
      </c>
      <c r="B337" s="4" t="s">
        <v>62</v>
      </c>
      <c r="C337" s="4" t="s">
        <v>704</v>
      </c>
      <c r="D337" s="4" t="s">
        <v>717</v>
      </c>
      <c r="E337" s="4" t="s">
        <v>718</v>
      </c>
      <c r="F337" s="4" t="s">
        <v>25</v>
      </c>
      <c r="G337" s="4" t="s">
        <v>26</v>
      </c>
      <c r="H337" s="4" t="s">
        <v>27</v>
      </c>
    </row>
    <row r="338" ht="14.25" customHeight="1">
      <c r="A338" s="5" t="s">
        <v>719</v>
      </c>
      <c r="B338" s="5" t="s">
        <v>65</v>
      </c>
      <c r="C338" s="5"/>
      <c r="D338" s="5" t="s">
        <v>720</v>
      </c>
      <c r="E338" s="5" t="s">
        <v>721</v>
      </c>
      <c r="F338" s="5" t="s">
        <v>25</v>
      </c>
      <c r="G338" s="5" t="s">
        <v>722</v>
      </c>
      <c r="H338" s="5" t="s">
        <v>723</v>
      </c>
    </row>
    <row r="339" ht="14.25" customHeight="1">
      <c r="A339" s="5" t="s">
        <v>719</v>
      </c>
      <c r="B339" s="5" t="s">
        <v>65</v>
      </c>
      <c r="C339" s="5"/>
      <c r="D339" s="5" t="s">
        <v>724</v>
      </c>
      <c r="E339" s="5" t="s">
        <v>725</v>
      </c>
      <c r="F339" s="5" t="s">
        <v>25</v>
      </c>
      <c r="G339" s="5" t="s">
        <v>722</v>
      </c>
      <c r="H339" s="5" t="s">
        <v>723</v>
      </c>
    </row>
    <row r="340" ht="14.25" customHeight="1">
      <c r="A340" s="5" t="s">
        <v>719</v>
      </c>
      <c r="B340" s="5" t="s">
        <v>65</v>
      </c>
      <c r="C340" s="5"/>
      <c r="D340" s="5" t="s">
        <v>726</v>
      </c>
      <c r="E340" s="5" t="s">
        <v>727</v>
      </c>
      <c r="F340" s="5" t="s">
        <v>25</v>
      </c>
      <c r="G340" s="5" t="s">
        <v>722</v>
      </c>
      <c r="H340" s="5" t="s">
        <v>723</v>
      </c>
    </row>
    <row r="341" ht="14.25" customHeight="1">
      <c r="A341" s="5" t="s">
        <v>719</v>
      </c>
      <c r="B341" s="5" t="s">
        <v>65</v>
      </c>
      <c r="C341" s="5"/>
      <c r="D341" s="5" t="s">
        <v>661</v>
      </c>
      <c r="E341" s="5" t="s">
        <v>662</v>
      </c>
      <c r="F341" s="5" t="s">
        <v>25</v>
      </c>
      <c r="G341" s="5" t="s">
        <v>722</v>
      </c>
      <c r="H341" s="5" t="s">
        <v>723</v>
      </c>
    </row>
    <row r="342" ht="14.25" customHeight="1">
      <c r="A342" s="5" t="s">
        <v>719</v>
      </c>
      <c r="B342" s="5" t="s">
        <v>65</v>
      </c>
      <c r="C342" s="5"/>
      <c r="D342" s="5" t="s">
        <v>728</v>
      </c>
      <c r="E342" s="5" t="s">
        <v>729</v>
      </c>
      <c r="F342" s="5" t="s">
        <v>25</v>
      </c>
      <c r="G342" s="5" t="s">
        <v>722</v>
      </c>
      <c r="H342" s="5" t="s">
        <v>723</v>
      </c>
    </row>
    <row r="343" ht="14.25" customHeight="1">
      <c r="A343" s="5" t="s">
        <v>719</v>
      </c>
      <c r="B343" s="5" t="s">
        <v>65</v>
      </c>
      <c r="C343" s="5"/>
      <c r="D343" s="5" t="s">
        <v>730</v>
      </c>
      <c r="E343" s="5" t="s">
        <v>731</v>
      </c>
      <c r="F343" s="5" t="s">
        <v>25</v>
      </c>
      <c r="G343" s="5" t="s">
        <v>722</v>
      </c>
      <c r="H343" s="5" t="s">
        <v>723</v>
      </c>
    </row>
    <row r="344" ht="14.25" customHeight="1">
      <c r="A344" s="5" t="s">
        <v>719</v>
      </c>
      <c r="B344" s="5" t="s">
        <v>65</v>
      </c>
      <c r="C344" s="5"/>
      <c r="D344" s="5" t="s">
        <v>156</v>
      </c>
      <c r="E344" s="5" t="s">
        <v>157</v>
      </c>
      <c r="F344" s="5" t="s">
        <v>25</v>
      </c>
      <c r="G344" s="5" t="s">
        <v>722</v>
      </c>
      <c r="H344" s="5" t="s">
        <v>723</v>
      </c>
    </row>
    <row r="345" ht="14.25" customHeight="1">
      <c r="A345" s="5" t="s">
        <v>719</v>
      </c>
      <c r="B345" s="5" t="s">
        <v>65</v>
      </c>
      <c r="C345" s="5"/>
      <c r="D345" s="5" t="s">
        <v>732</v>
      </c>
      <c r="E345" s="5" t="s">
        <v>733</v>
      </c>
      <c r="F345" s="5" t="s">
        <v>25</v>
      </c>
      <c r="G345" s="5" t="s">
        <v>722</v>
      </c>
      <c r="H345" s="5" t="s">
        <v>723</v>
      </c>
    </row>
    <row r="346" ht="14.25" customHeight="1">
      <c r="A346" s="5" t="s">
        <v>719</v>
      </c>
      <c r="B346" s="5" t="s">
        <v>65</v>
      </c>
      <c r="C346" s="5"/>
      <c r="D346" s="5" t="s">
        <v>734</v>
      </c>
      <c r="E346" s="5" t="s">
        <v>735</v>
      </c>
      <c r="F346" s="5" t="s">
        <v>25</v>
      </c>
      <c r="G346" s="5" t="s">
        <v>722</v>
      </c>
      <c r="H346" s="5" t="s">
        <v>723</v>
      </c>
    </row>
    <row r="347" ht="14.25" customHeight="1">
      <c r="A347" s="5" t="s">
        <v>719</v>
      </c>
      <c r="B347" s="5" t="s">
        <v>65</v>
      </c>
      <c r="C347" s="5"/>
      <c r="D347" s="5" t="s">
        <v>736</v>
      </c>
      <c r="E347" s="5" t="s">
        <v>737</v>
      </c>
      <c r="F347" s="5" t="s">
        <v>25</v>
      </c>
      <c r="G347" s="5" t="s">
        <v>722</v>
      </c>
      <c r="H347" s="5" t="s">
        <v>723</v>
      </c>
    </row>
    <row r="348" ht="14.25" customHeight="1">
      <c r="A348" s="5" t="s">
        <v>719</v>
      </c>
      <c r="B348" s="5" t="s">
        <v>68</v>
      </c>
      <c r="C348" s="5"/>
      <c r="D348" s="5" t="s">
        <v>230</v>
      </c>
      <c r="E348" s="5" t="s">
        <v>231</v>
      </c>
      <c r="F348" s="5" t="s">
        <v>25</v>
      </c>
      <c r="G348" s="5" t="s">
        <v>722</v>
      </c>
      <c r="H348" s="5" t="s">
        <v>723</v>
      </c>
    </row>
    <row r="349" ht="14.25" customHeight="1">
      <c r="A349" s="5" t="s">
        <v>719</v>
      </c>
      <c r="B349" s="5" t="s">
        <v>68</v>
      </c>
      <c r="C349" s="5"/>
      <c r="D349" s="5" t="s">
        <v>198</v>
      </c>
      <c r="E349" s="5" t="s">
        <v>199</v>
      </c>
      <c r="F349" s="5" t="s">
        <v>25</v>
      </c>
      <c r="G349" s="5" t="s">
        <v>722</v>
      </c>
      <c r="H349" s="5" t="s">
        <v>723</v>
      </c>
    </row>
    <row r="350" ht="14.25" customHeight="1">
      <c r="A350" s="5" t="s">
        <v>719</v>
      </c>
      <c r="B350" s="5" t="s">
        <v>68</v>
      </c>
      <c r="C350" s="5"/>
      <c r="D350" s="5" t="s">
        <v>342</v>
      </c>
      <c r="E350" s="5" t="s">
        <v>738</v>
      </c>
      <c r="F350" s="5" t="s">
        <v>25</v>
      </c>
      <c r="G350" s="5" t="s">
        <v>722</v>
      </c>
      <c r="H350" s="5" t="s">
        <v>723</v>
      </c>
    </row>
    <row r="351" ht="14.25" customHeight="1">
      <c r="A351" s="5" t="s">
        <v>719</v>
      </c>
      <c r="B351" s="5" t="s">
        <v>68</v>
      </c>
      <c r="C351" s="5"/>
      <c r="D351" s="5" t="s">
        <v>739</v>
      </c>
      <c r="E351" s="5" t="s">
        <v>740</v>
      </c>
      <c r="F351" s="5" t="s">
        <v>25</v>
      </c>
      <c r="G351" s="5" t="s">
        <v>722</v>
      </c>
      <c r="H351" s="5" t="s">
        <v>723</v>
      </c>
    </row>
    <row r="352" ht="14.25" customHeight="1">
      <c r="A352" s="5" t="s">
        <v>719</v>
      </c>
      <c r="B352" s="5" t="s">
        <v>68</v>
      </c>
      <c r="C352" s="5"/>
      <c r="D352" s="5" t="s">
        <v>741</v>
      </c>
      <c r="E352" s="5" t="s">
        <v>742</v>
      </c>
      <c r="F352" s="5" t="s">
        <v>25</v>
      </c>
      <c r="G352" s="5" t="s">
        <v>722</v>
      </c>
      <c r="H352" s="5" t="s">
        <v>723</v>
      </c>
    </row>
    <row r="353" ht="14.25" customHeight="1">
      <c r="A353" s="5" t="s">
        <v>719</v>
      </c>
      <c r="B353" s="5" t="s">
        <v>68</v>
      </c>
      <c r="C353" s="5"/>
      <c r="D353" s="5" t="s">
        <v>524</v>
      </c>
      <c r="E353" s="5" t="s">
        <v>525</v>
      </c>
      <c r="F353" s="5" t="s">
        <v>25</v>
      </c>
      <c r="G353" s="5" t="s">
        <v>722</v>
      </c>
      <c r="H353" s="5" t="s">
        <v>723</v>
      </c>
    </row>
    <row r="354" ht="14.25" customHeight="1">
      <c r="A354" s="5" t="s">
        <v>719</v>
      </c>
      <c r="B354" s="5" t="s">
        <v>68</v>
      </c>
      <c r="C354" s="5"/>
      <c r="D354" s="5" t="s">
        <v>743</v>
      </c>
      <c r="E354" s="5" t="s">
        <v>744</v>
      </c>
      <c r="F354" s="5" t="s">
        <v>25</v>
      </c>
      <c r="G354" s="5" t="s">
        <v>722</v>
      </c>
      <c r="H354" s="5" t="s">
        <v>723</v>
      </c>
    </row>
    <row r="355" ht="14.25" customHeight="1">
      <c r="A355" s="5" t="s">
        <v>719</v>
      </c>
      <c r="B355" s="5" t="s">
        <v>68</v>
      </c>
      <c r="C355" s="5"/>
      <c r="D355" s="5" t="s">
        <v>745</v>
      </c>
      <c r="E355" s="5" t="s">
        <v>746</v>
      </c>
      <c r="F355" s="5" t="s">
        <v>25</v>
      </c>
      <c r="G355" s="5" t="s">
        <v>722</v>
      </c>
      <c r="H355" s="5" t="s">
        <v>723</v>
      </c>
    </row>
    <row r="356" ht="14.25" customHeight="1">
      <c r="A356" s="5" t="s">
        <v>719</v>
      </c>
      <c r="B356" s="5" t="s">
        <v>68</v>
      </c>
      <c r="C356" s="5"/>
      <c r="D356" s="5" t="s">
        <v>747</v>
      </c>
      <c r="E356" s="5" t="s">
        <v>748</v>
      </c>
      <c r="F356" s="5" t="s">
        <v>25</v>
      </c>
      <c r="G356" s="5" t="s">
        <v>722</v>
      </c>
      <c r="H356" s="5" t="s">
        <v>723</v>
      </c>
    </row>
    <row r="357" ht="14.25" customHeight="1">
      <c r="A357" s="5" t="s">
        <v>719</v>
      </c>
      <c r="B357" s="5" t="s">
        <v>68</v>
      </c>
      <c r="C357" s="5"/>
      <c r="D357" s="5" t="s">
        <v>749</v>
      </c>
      <c r="E357" s="5" t="s">
        <v>410</v>
      </c>
      <c r="F357" s="5" t="s">
        <v>25</v>
      </c>
      <c r="G357" s="5" t="s">
        <v>722</v>
      </c>
      <c r="H357" s="5" t="s">
        <v>723</v>
      </c>
    </row>
    <row r="358" ht="14.25" customHeight="1">
      <c r="A358" s="5" t="s">
        <v>719</v>
      </c>
      <c r="B358" s="5" t="s">
        <v>71</v>
      </c>
      <c r="C358" s="5"/>
      <c r="D358" s="5" t="s">
        <v>750</v>
      </c>
      <c r="E358" s="5" t="s">
        <v>751</v>
      </c>
      <c r="F358" s="5" t="s">
        <v>25</v>
      </c>
      <c r="G358" s="5" t="s">
        <v>722</v>
      </c>
      <c r="H358" s="5" t="s">
        <v>723</v>
      </c>
    </row>
    <row r="359" ht="14.25" customHeight="1">
      <c r="A359" s="5" t="s">
        <v>719</v>
      </c>
      <c r="B359" s="5" t="s">
        <v>71</v>
      </c>
      <c r="C359" s="5"/>
      <c r="D359" s="5" t="s">
        <v>752</v>
      </c>
      <c r="E359" s="5" t="s">
        <v>753</v>
      </c>
      <c r="F359" s="5" t="s">
        <v>25</v>
      </c>
      <c r="G359" s="5" t="s">
        <v>722</v>
      </c>
      <c r="H359" s="5" t="s">
        <v>723</v>
      </c>
    </row>
    <row r="360" ht="14.25" customHeight="1">
      <c r="A360" s="5" t="s">
        <v>719</v>
      </c>
      <c r="B360" s="5" t="s">
        <v>71</v>
      </c>
      <c r="C360" s="5"/>
      <c r="D360" s="5" t="s">
        <v>754</v>
      </c>
      <c r="E360" s="5" t="s">
        <v>755</v>
      </c>
      <c r="F360" s="5" t="s">
        <v>25</v>
      </c>
      <c r="G360" s="5" t="s">
        <v>722</v>
      </c>
      <c r="H360" s="5" t="s">
        <v>723</v>
      </c>
    </row>
    <row r="361" ht="14.25" customHeight="1">
      <c r="A361" s="5" t="s">
        <v>719</v>
      </c>
      <c r="B361" s="5" t="s">
        <v>71</v>
      </c>
      <c r="C361" s="5"/>
      <c r="D361" s="5" t="s">
        <v>756</v>
      </c>
      <c r="E361" s="5" t="s">
        <v>757</v>
      </c>
      <c r="F361" s="5" t="s">
        <v>25</v>
      </c>
      <c r="G361" s="5" t="s">
        <v>722</v>
      </c>
      <c r="H361" s="5" t="s">
        <v>723</v>
      </c>
    </row>
    <row r="362" ht="14.25" customHeight="1">
      <c r="A362" s="5" t="s">
        <v>719</v>
      </c>
      <c r="B362" s="5" t="s">
        <v>71</v>
      </c>
      <c r="C362" s="5"/>
      <c r="D362" s="5" t="s">
        <v>698</v>
      </c>
      <c r="E362" s="5" t="s">
        <v>699</v>
      </c>
      <c r="F362" s="5" t="s">
        <v>25</v>
      </c>
      <c r="G362" s="5" t="s">
        <v>722</v>
      </c>
      <c r="H362" s="5" t="s">
        <v>723</v>
      </c>
    </row>
    <row r="363" ht="14.25" customHeight="1">
      <c r="A363" s="5" t="s">
        <v>719</v>
      </c>
      <c r="B363" s="5" t="s">
        <v>71</v>
      </c>
      <c r="C363" s="5"/>
      <c r="D363" s="5" t="s">
        <v>758</v>
      </c>
      <c r="E363" s="5" t="s">
        <v>759</v>
      </c>
      <c r="F363" s="5" t="s">
        <v>25</v>
      </c>
      <c r="G363" s="5" t="s">
        <v>722</v>
      </c>
      <c r="H363" s="5" t="s">
        <v>723</v>
      </c>
    </row>
    <row r="364" ht="14.25" customHeight="1">
      <c r="A364" s="5" t="s">
        <v>719</v>
      </c>
      <c r="B364" s="5" t="s">
        <v>71</v>
      </c>
      <c r="C364" s="5"/>
      <c r="D364" s="5" t="s">
        <v>760</v>
      </c>
      <c r="E364" s="5" t="s">
        <v>761</v>
      </c>
      <c r="F364" s="5" t="s">
        <v>25</v>
      </c>
      <c r="G364" s="5" t="s">
        <v>722</v>
      </c>
      <c r="H364" s="5" t="s">
        <v>723</v>
      </c>
    </row>
    <row r="365" ht="14.25" customHeight="1">
      <c r="A365" s="5" t="s">
        <v>719</v>
      </c>
      <c r="B365" s="5" t="s">
        <v>71</v>
      </c>
      <c r="C365" s="5"/>
      <c r="D365" s="5" t="s">
        <v>762</v>
      </c>
      <c r="E365" s="5" t="s">
        <v>763</v>
      </c>
      <c r="F365" s="5" t="s">
        <v>25</v>
      </c>
      <c r="G365" s="5" t="s">
        <v>722</v>
      </c>
      <c r="H365" s="5" t="s">
        <v>723</v>
      </c>
    </row>
    <row r="366" ht="14.25" customHeight="1">
      <c r="A366" s="5" t="s">
        <v>719</v>
      </c>
      <c r="B366" s="5" t="s">
        <v>71</v>
      </c>
      <c r="C366" s="5"/>
      <c r="D366" s="5" t="s">
        <v>764</v>
      </c>
      <c r="E366" s="5" t="s">
        <v>765</v>
      </c>
      <c r="F366" s="5" t="s">
        <v>25</v>
      </c>
      <c r="G366" s="5" t="s">
        <v>722</v>
      </c>
      <c r="H366" s="5" t="s">
        <v>723</v>
      </c>
    </row>
    <row r="367" ht="14.25" customHeight="1">
      <c r="A367" s="5" t="s">
        <v>719</v>
      </c>
      <c r="B367" s="5" t="s">
        <v>71</v>
      </c>
      <c r="C367" s="5"/>
      <c r="D367" s="5" t="s">
        <v>766</v>
      </c>
      <c r="E367" s="5" t="s">
        <v>767</v>
      </c>
      <c r="F367" s="5" t="s">
        <v>25</v>
      </c>
      <c r="G367" s="5" t="s">
        <v>722</v>
      </c>
      <c r="H367" s="5" t="s">
        <v>723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3" width="57.71"/>
    <col customWidth="1" min="4" max="4" width="40.57"/>
    <col customWidth="1" min="5" max="5" width="14.14"/>
    <col customWidth="1" min="6" max="6" width="8.71"/>
    <col customWidth="1" min="7" max="7" width="21.57"/>
    <col customWidth="1" min="8" max="8" width="10.71"/>
    <col customWidth="1" min="9" max="9" width="32.86"/>
    <col customWidth="1" min="10" max="10" width="50.71"/>
    <col customWidth="1" min="11" max="11" width="37.14"/>
    <col customWidth="1" min="12" max="12" width="15.0"/>
    <col customWidth="1" min="13" max="13" width="66.14"/>
    <col customWidth="1" min="14" max="26" width="8.71"/>
  </cols>
  <sheetData>
    <row r="1" ht="14.25" customHeight="1">
      <c r="A1" s="6" t="s">
        <v>0</v>
      </c>
      <c r="B1" s="6" t="s">
        <v>1</v>
      </c>
      <c r="C1" s="6" t="s">
        <v>768</v>
      </c>
      <c r="D1" s="6" t="s">
        <v>769</v>
      </c>
      <c r="E1" s="6" t="s">
        <v>770</v>
      </c>
      <c r="F1" s="6" t="s">
        <v>0</v>
      </c>
      <c r="G1" s="6" t="s">
        <v>1</v>
      </c>
      <c r="H1" s="6" t="s">
        <v>771</v>
      </c>
      <c r="I1" s="6" t="s">
        <v>772</v>
      </c>
      <c r="J1" s="6" t="s">
        <v>773</v>
      </c>
      <c r="K1" s="6" t="s">
        <v>774</v>
      </c>
      <c r="L1" s="6" t="s">
        <v>775</v>
      </c>
      <c r="M1" s="6" t="s">
        <v>776</v>
      </c>
    </row>
    <row r="2" ht="14.25" customHeight="1">
      <c r="A2" s="3" t="s">
        <v>20</v>
      </c>
      <c r="B2" s="3" t="s">
        <v>21</v>
      </c>
      <c r="C2" s="3" t="s">
        <v>777</v>
      </c>
      <c r="D2" s="3" t="s">
        <v>778</v>
      </c>
      <c r="E2" s="7">
        <v>5.0</v>
      </c>
      <c r="F2" s="2" t="s">
        <v>20</v>
      </c>
      <c r="G2" s="2" t="s">
        <v>21</v>
      </c>
      <c r="H2" s="3">
        <f>AVERAGE(E2,E3)</f>
        <v>4.5</v>
      </c>
      <c r="I2" s="7">
        <v>4.6</v>
      </c>
      <c r="J2" s="3">
        <f t="shared" ref="J2:J13" si="1">ABS(H2 - I2) / 5 * 100</f>
        <v>2</v>
      </c>
      <c r="K2" s="3">
        <f t="shared" ref="K2:K13" si="2">(5 - ABS(H2 - I2)) / 5</f>
        <v>0.98</v>
      </c>
      <c r="L2" s="3">
        <f>AVERAGE(K2:K13) * 100</f>
        <v>63.31666667</v>
      </c>
      <c r="M2" s="3">
        <f>100 - L2</f>
        <v>36.68333333</v>
      </c>
    </row>
    <row r="3" ht="14.25" customHeight="1">
      <c r="A3" s="3" t="s">
        <v>20</v>
      </c>
      <c r="B3" s="3" t="s">
        <v>21</v>
      </c>
      <c r="C3" s="3" t="s">
        <v>779</v>
      </c>
      <c r="D3" s="3" t="s">
        <v>780</v>
      </c>
      <c r="E3" s="7">
        <v>4.0</v>
      </c>
      <c r="F3" s="2" t="s">
        <v>20</v>
      </c>
      <c r="G3" s="2" t="s">
        <v>108</v>
      </c>
      <c r="H3" s="3">
        <f>AVERAGE(E4,E5)</f>
        <v>2.5</v>
      </c>
      <c r="I3" s="7">
        <v>4.5</v>
      </c>
      <c r="J3" s="3">
        <f t="shared" si="1"/>
        <v>40</v>
      </c>
      <c r="K3" s="3">
        <f t="shared" si="2"/>
        <v>0.6</v>
      </c>
    </row>
    <row r="4" ht="14.25" customHeight="1">
      <c r="A4" s="3" t="s">
        <v>20</v>
      </c>
      <c r="B4" s="3" t="s">
        <v>108</v>
      </c>
      <c r="C4" s="3" t="s">
        <v>781</v>
      </c>
      <c r="D4" s="3" t="s">
        <v>782</v>
      </c>
      <c r="E4" s="7">
        <v>3.0</v>
      </c>
      <c r="F4" s="2" t="s">
        <v>20</v>
      </c>
      <c r="G4" s="2" t="s">
        <v>177</v>
      </c>
      <c r="H4" s="3">
        <f>AVERAGE(E6,E7)</f>
        <v>1</v>
      </c>
      <c r="I4" s="7">
        <v>1.47</v>
      </c>
      <c r="J4" s="3">
        <f t="shared" si="1"/>
        <v>9.4</v>
      </c>
      <c r="K4" s="3">
        <f t="shared" si="2"/>
        <v>0.906</v>
      </c>
    </row>
    <row r="5" ht="14.25" customHeight="1">
      <c r="A5" s="3" t="s">
        <v>20</v>
      </c>
      <c r="B5" s="3" t="s">
        <v>108</v>
      </c>
      <c r="C5" s="3" t="s">
        <v>783</v>
      </c>
      <c r="D5" s="3" t="s">
        <v>784</v>
      </c>
      <c r="E5" s="7">
        <v>2.0</v>
      </c>
      <c r="F5" s="2" t="s">
        <v>20</v>
      </c>
      <c r="G5" s="2" t="s">
        <v>246</v>
      </c>
      <c r="H5" s="3">
        <f>AVERAGE(E8,E9)</f>
        <v>2.5</v>
      </c>
      <c r="I5" s="7">
        <v>3.4</v>
      </c>
      <c r="J5" s="3">
        <f t="shared" si="1"/>
        <v>18</v>
      </c>
      <c r="K5" s="3">
        <f t="shared" si="2"/>
        <v>0.82</v>
      </c>
    </row>
    <row r="6" ht="14.25" customHeight="1">
      <c r="A6" s="3" t="s">
        <v>20</v>
      </c>
      <c r="B6" s="3" t="s">
        <v>177</v>
      </c>
      <c r="C6" s="3" t="s">
        <v>785</v>
      </c>
      <c r="D6" s="3" t="s">
        <v>786</v>
      </c>
      <c r="E6" s="7">
        <v>1.0</v>
      </c>
      <c r="F6" s="2" t="s">
        <v>20</v>
      </c>
      <c r="G6" s="2" t="s">
        <v>313</v>
      </c>
      <c r="H6" s="3">
        <f>AVERAGE(E10,E11)</f>
        <v>4.5</v>
      </c>
      <c r="I6" s="7">
        <v>2.66</v>
      </c>
      <c r="J6" s="3">
        <f t="shared" si="1"/>
        <v>36.8</v>
      </c>
      <c r="K6" s="3">
        <f t="shared" si="2"/>
        <v>0.632</v>
      </c>
    </row>
    <row r="7" ht="14.25" customHeight="1">
      <c r="A7" s="3" t="s">
        <v>20</v>
      </c>
      <c r="B7" s="3" t="s">
        <v>177</v>
      </c>
      <c r="C7" s="3" t="s">
        <v>787</v>
      </c>
      <c r="D7" s="3" t="s">
        <v>788</v>
      </c>
      <c r="E7" s="7">
        <v>1.0</v>
      </c>
      <c r="F7" s="2" t="s">
        <v>20</v>
      </c>
      <c r="G7" s="2" t="s">
        <v>382</v>
      </c>
      <c r="H7" s="3">
        <f>AVERAGE(E12,E13)</f>
        <v>3.5</v>
      </c>
      <c r="I7" s="7">
        <v>2.8</v>
      </c>
      <c r="J7" s="3">
        <f t="shared" si="1"/>
        <v>14</v>
      </c>
      <c r="K7" s="3">
        <f t="shared" si="2"/>
        <v>0.86</v>
      </c>
    </row>
    <row r="8" ht="14.25" customHeight="1">
      <c r="A8" s="3" t="s">
        <v>20</v>
      </c>
      <c r="B8" s="3" t="s">
        <v>246</v>
      </c>
      <c r="C8" s="3" t="s">
        <v>789</v>
      </c>
      <c r="D8" s="3" t="s">
        <v>790</v>
      </c>
      <c r="E8" s="7">
        <v>2.0</v>
      </c>
      <c r="F8" s="4" t="s">
        <v>791</v>
      </c>
      <c r="G8" s="4" t="s">
        <v>46</v>
      </c>
      <c r="H8" s="3">
        <f>AVERAGE(E14,E15)</f>
        <v>1.5</v>
      </c>
      <c r="J8" s="3">
        <f t="shared" si="1"/>
        <v>30</v>
      </c>
      <c r="K8" s="3">
        <f t="shared" si="2"/>
        <v>0.7</v>
      </c>
    </row>
    <row r="9" ht="14.25" customHeight="1">
      <c r="A9" s="3" t="s">
        <v>20</v>
      </c>
      <c r="B9" s="3" t="s">
        <v>246</v>
      </c>
      <c r="C9" s="3" t="s">
        <v>792</v>
      </c>
      <c r="D9" s="3" t="s">
        <v>793</v>
      </c>
      <c r="E9" s="7">
        <v>3.0</v>
      </c>
      <c r="F9" s="4" t="s">
        <v>791</v>
      </c>
      <c r="G9" s="4" t="s">
        <v>49</v>
      </c>
      <c r="H9" s="3">
        <f>AVERAGE(E16,E17)</f>
        <v>2.5</v>
      </c>
      <c r="J9" s="3">
        <f t="shared" si="1"/>
        <v>50</v>
      </c>
      <c r="K9" s="3">
        <f t="shared" si="2"/>
        <v>0.5</v>
      </c>
    </row>
    <row r="10" ht="14.25" customHeight="1">
      <c r="A10" s="3" t="s">
        <v>20</v>
      </c>
      <c r="B10" s="3" t="s">
        <v>313</v>
      </c>
      <c r="C10" s="3" t="s">
        <v>794</v>
      </c>
      <c r="D10" s="3" t="s">
        <v>795</v>
      </c>
      <c r="E10" s="7">
        <v>4.0</v>
      </c>
      <c r="F10" s="4" t="s">
        <v>791</v>
      </c>
      <c r="G10" s="4" t="s">
        <v>53</v>
      </c>
      <c r="H10" s="3">
        <f>AVERAGE(E18,E19)</f>
        <v>4.5</v>
      </c>
      <c r="J10" s="3">
        <f t="shared" si="1"/>
        <v>90</v>
      </c>
      <c r="K10" s="3">
        <f t="shared" si="2"/>
        <v>0.1</v>
      </c>
    </row>
    <row r="11" ht="14.25" customHeight="1">
      <c r="A11" s="3" t="s">
        <v>20</v>
      </c>
      <c r="B11" s="3" t="s">
        <v>313</v>
      </c>
      <c r="C11" s="3" t="s">
        <v>796</v>
      </c>
      <c r="D11" s="3" t="s">
        <v>797</v>
      </c>
      <c r="E11" s="7">
        <v>5.0</v>
      </c>
      <c r="F11" s="4" t="s">
        <v>791</v>
      </c>
      <c r="G11" s="4" t="s">
        <v>56</v>
      </c>
      <c r="H11" s="3">
        <f>AVERAGE(E20,E21)</f>
        <v>3.5</v>
      </c>
      <c r="J11" s="3">
        <f t="shared" si="1"/>
        <v>70</v>
      </c>
      <c r="K11" s="3">
        <f t="shared" si="2"/>
        <v>0.3</v>
      </c>
    </row>
    <row r="12" ht="14.25" customHeight="1">
      <c r="A12" s="3" t="s">
        <v>20</v>
      </c>
      <c r="B12" s="3" t="s">
        <v>382</v>
      </c>
      <c r="C12" s="3" t="s">
        <v>798</v>
      </c>
      <c r="D12" s="3" t="s">
        <v>799</v>
      </c>
      <c r="E12" s="7">
        <v>4.0</v>
      </c>
      <c r="F12" s="4" t="s">
        <v>791</v>
      </c>
      <c r="G12" s="4" t="s">
        <v>59</v>
      </c>
      <c r="H12" s="3">
        <f>AVERAGE(E22,E23)</f>
        <v>1.5</v>
      </c>
      <c r="J12" s="3">
        <f t="shared" si="1"/>
        <v>30</v>
      </c>
      <c r="K12" s="3">
        <f t="shared" si="2"/>
        <v>0.7</v>
      </c>
    </row>
    <row r="13" ht="14.25" customHeight="1">
      <c r="A13" s="3" t="s">
        <v>20</v>
      </c>
      <c r="B13" s="3" t="s">
        <v>382</v>
      </c>
      <c r="C13" s="3" t="s">
        <v>800</v>
      </c>
      <c r="D13" s="3" t="s">
        <v>801</v>
      </c>
      <c r="E13" s="7">
        <v>3.0</v>
      </c>
      <c r="F13" s="4" t="s">
        <v>791</v>
      </c>
      <c r="G13" s="4" t="s">
        <v>62</v>
      </c>
      <c r="H13" s="3">
        <f>AVERAGE(E24,E25)</f>
        <v>2.5</v>
      </c>
      <c r="J13" s="3">
        <f t="shared" si="1"/>
        <v>50</v>
      </c>
      <c r="K13" s="3">
        <f t="shared" si="2"/>
        <v>0.5</v>
      </c>
    </row>
    <row r="14" ht="14.25" customHeight="1">
      <c r="A14" s="3" t="s">
        <v>791</v>
      </c>
      <c r="B14" s="3" t="s">
        <v>46</v>
      </c>
      <c r="C14" s="3" t="s">
        <v>802</v>
      </c>
      <c r="D14" s="3" t="s">
        <v>803</v>
      </c>
      <c r="E14" s="7">
        <v>2.0</v>
      </c>
    </row>
    <row r="15" ht="14.25" customHeight="1">
      <c r="A15" s="3" t="s">
        <v>791</v>
      </c>
      <c r="B15" s="3" t="s">
        <v>46</v>
      </c>
      <c r="C15" s="3" t="s">
        <v>804</v>
      </c>
      <c r="D15" s="3" t="s">
        <v>805</v>
      </c>
      <c r="E15" s="7">
        <v>1.0</v>
      </c>
    </row>
    <row r="16" ht="14.25" customHeight="1">
      <c r="A16" s="3" t="s">
        <v>791</v>
      </c>
      <c r="B16" s="3" t="s">
        <v>49</v>
      </c>
      <c r="C16" s="3" t="s">
        <v>806</v>
      </c>
      <c r="D16" s="3" t="s">
        <v>807</v>
      </c>
      <c r="E16" s="7">
        <v>2.0</v>
      </c>
    </row>
    <row r="17" ht="14.25" customHeight="1">
      <c r="A17" s="3" t="s">
        <v>791</v>
      </c>
      <c r="B17" s="3" t="s">
        <v>49</v>
      </c>
      <c r="C17" s="3" t="s">
        <v>808</v>
      </c>
      <c r="D17" s="3" t="s">
        <v>809</v>
      </c>
      <c r="E17" s="7">
        <v>3.0</v>
      </c>
    </row>
    <row r="18" ht="14.25" customHeight="1">
      <c r="A18" s="3" t="s">
        <v>791</v>
      </c>
      <c r="B18" s="3" t="s">
        <v>53</v>
      </c>
      <c r="C18" s="3" t="s">
        <v>810</v>
      </c>
      <c r="D18" s="3" t="s">
        <v>811</v>
      </c>
      <c r="E18" s="7">
        <v>4.0</v>
      </c>
    </row>
    <row r="19" ht="14.25" customHeight="1">
      <c r="A19" s="3" t="s">
        <v>791</v>
      </c>
      <c r="B19" s="3" t="s">
        <v>53</v>
      </c>
      <c r="C19" s="3" t="s">
        <v>812</v>
      </c>
      <c r="D19" s="3" t="s">
        <v>813</v>
      </c>
      <c r="E19" s="7">
        <v>5.0</v>
      </c>
    </row>
    <row r="20" ht="14.25" customHeight="1">
      <c r="A20" s="3" t="s">
        <v>791</v>
      </c>
      <c r="B20" s="3" t="s">
        <v>56</v>
      </c>
      <c r="C20" s="3" t="s">
        <v>814</v>
      </c>
      <c r="D20" s="3" t="s">
        <v>815</v>
      </c>
      <c r="E20" s="7">
        <v>4.0</v>
      </c>
    </row>
    <row r="21" ht="14.25" customHeight="1">
      <c r="A21" s="3" t="s">
        <v>791</v>
      </c>
      <c r="B21" s="3" t="s">
        <v>56</v>
      </c>
      <c r="C21" s="3" t="s">
        <v>816</v>
      </c>
      <c r="D21" s="3" t="s">
        <v>817</v>
      </c>
      <c r="E21" s="7">
        <v>3.0</v>
      </c>
    </row>
    <row r="22" ht="14.25" customHeight="1">
      <c r="A22" s="3" t="s">
        <v>791</v>
      </c>
      <c r="B22" s="3" t="s">
        <v>59</v>
      </c>
      <c r="C22" s="3" t="s">
        <v>818</v>
      </c>
      <c r="D22" s="3" t="s">
        <v>819</v>
      </c>
      <c r="E22" s="7">
        <v>2.0</v>
      </c>
    </row>
    <row r="23" ht="14.25" customHeight="1">
      <c r="A23" s="3" t="s">
        <v>791</v>
      </c>
      <c r="B23" s="3" t="s">
        <v>59</v>
      </c>
      <c r="C23" s="3" t="s">
        <v>820</v>
      </c>
      <c r="D23" s="3" t="s">
        <v>821</v>
      </c>
      <c r="E23" s="7">
        <v>1.0</v>
      </c>
    </row>
    <row r="24" ht="14.25" customHeight="1">
      <c r="A24" s="3" t="s">
        <v>791</v>
      </c>
      <c r="B24" s="3" t="s">
        <v>62</v>
      </c>
      <c r="C24" s="3" t="s">
        <v>822</v>
      </c>
      <c r="D24" s="3" t="s">
        <v>823</v>
      </c>
      <c r="E24" s="7">
        <v>2.0</v>
      </c>
    </row>
    <row r="25" ht="14.25" customHeight="1">
      <c r="A25" s="3" t="s">
        <v>791</v>
      </c>
      <c r="B25" s="3" t="s">
        <v>62</v>
      </c>
      <c r="C25" s="3" t="s">
        <v>824</v>
      </c>
      <c r="D25" s="3" t="s">
        <v>825</v>
      </c>
      <c r="E25" s="7">
        <v>3.0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decimal" allowBlank="1" showInputMessage="1" showErrorMessage="1" prompt="Likert 1–5 - 1 = nije važno … 5 = kritično važno" sqref="E2:E25">
      <formula1>1.0</formula1>
      <formula2>5.0</formula2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2025-11-01T22:28:40Z</dcterms:created>
  <dc:creator>Sucrovski Madzgalj</dc:creator>
</cp:coreProperties>
</file>